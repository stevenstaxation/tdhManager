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estevens/Sites/newTDHManager/documents/"/>
    </mc:Choice>
  </mc:AlternateContent>
  <xr:revisionPtr revIDLastSave="0" documentId="8_{B1980B41-0237-744E-98D2-B050F3C6FC2C}" xr6:coauthVersionLast="47" xr6:coauthVersionMax="47" xr10:uidLastSave="{00000000-0000-0000-0000-000000000000}"/>
  <bookViews>
    <workbookView xWindow="12660" yWindow="500" windowWidth="62320" windowHeight="22300" activeTab="1" xr2:uid="{DE9EE7A2-603B-4A2E-BB85-26F6CE2473A4}"/>
  </bookViews>
  <sheets>
    <sheet name="Bookings (Complete)" sheetId="1" r:id="rId1"/>
    <sheet name="Sheet1" sheetId="2" r:id="rId2"/>
  </sheets>
  <definedNames>
    <definedName name="_xlnm._FilterDatabase" localSheetId="0" hidden="1">'Bookings (Complete)'!$A$1:$N$207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07" i="2" l="1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<sst xmlns="http://schemas.openxmlformats.org/spreadsheetml/2006/main" count="2998" uniqueCount="612">
  <si>
    <t>Date Added</t>
  </si>
  <si>
    <t>Job Rate</t>
  </si>
  <si>
    <t>Notes</t>
  </si>
  <si>
    <t>RLH Logistics Ltd</t>
  </si>
  <si>
    <t>Charlie Muir</t>
  </si>
  <si>
    <t>P &amp; J Transport Ltd</t>
  </si>
  <si>
    <t>James May</t>
  </si>
  <si>
    <t>01323745443 / 07891333333</t>
  </si>
  <si>
    <t>MT71GYR</t>
  </si>
  <si>
    <t>MT71GYS</t>
  </si>
  <si>
    <t>Paper Mountain Ltd</t>
  </si>
  <si>
    <t>01329281182</t>
  </si>
  <si>
    <t>Bloompage Logistics Ltd</t>
  </si>
  <si>
    <t>07961648094</t>
  </si>
  <si>
    <t>KR53UEO</t>
  </si>
  <si>
    <t>07768056300</t>
  </si>
  <si>
    <t>NJ64KVS</t>
  </si>
  <si>
    <t>SV16NRZ</t>
  </si>
  <si>
    <t>ML71XXM</t>
  </si>
  <si>
    <t>07399338288</t>
  </si>
  <si>
    <t>ML71XXU</t>
  </si>
  <si>
    <t>MF71VYG</t>
  </si>
  <si>
    <t>Old CP2 ripped out.</t>
  </si>
  <si>
    <t>C &amp; D Logistics Ltd</t>
  </si>
  <si>
    <t>BV65WHH</t>
  </si>
  <si>
    <t>Crabtree manorway Tuffnells parcel express</t>
  </si>
  <si>
    <t>07427125801</t>
  </si>
  <si>
    <t>Toga Plant Hire Ltd</t>
  </si>
  <si>
    <t>ML19XHV</t>
  </si>
  <si>
    <t>02085335222</t>
  </si>
  <si>
    <t>The KP1 has stopped working and will need replacing with a CP2 if it can't be repaired.</t>
  </si>
  <si>
    <t>Promise Medicare (UK) Ltd</t>
  </si>
  <si>
    <t>SH09VRP</t>
  </si>
  <si>
    <t>07711284904</t>
  </si>
  <si>
    <t>WU15BXR</t>
  </si>
  <si>
    <t>Zilex Ltd</t>
  </si>
  <si>
    <t>CY68NEF</t>
  </si>
  <si>
    <t>07947368309</t>
  </si>
  <si>
    <t>WP68UXH</t>
  </si>
  <si>
    <t>The 4 All Group</t>
  </si>
  <si>
    <t>YD20OKK</t>
  </si>
  <si>
    <t>07506611325</t>
  </si>
  <si>
    <t>YD20OKL</t>
  </si>
  <si>
    <t>YD20OMO</t>
  </si>
  <si>
    <t>FN19UZM</t>
  </si>
  <si>
    <t>RJ19RXC</t>
  </si>
  <si>
    <t>Profile Handling Ltd</t>
  </si>
  <si>
    <t>GN63EZE</t>
  </si>
  <si>
    <t>01212462227</t>
  </si>
  <si>
    <t>HX64RVU</t>
  </si>
  <si>
    <t>WU64AWF</t>
  </si>
  <si>
    <t>WX15YKO</t>
  </si>
  <si>
    <t>Muckaway Company Grab Hire Ltd</t>
  </si>
  <si>
    <t>KX17RHY</t>
  </si>
  <si>
    <t>07578264979</t>
  </si>
  <si>
    <t>Not connected recently. May need replacing.</t>
  </si>
  <si>
    <t>EK16BZP</t>
  </si>
  <si>
    <t>Side camera not showing.</t>
  </si>
  <si>
    <t>NJ71BHX</t>
  </si>
  <si>
    <t>NJ71BHY</t>
  </si>
  <si>
    <t>The Data Hub</t>
  </si>
  <si>
    <t>HY55GYA</t>
  </si>
  <si>
    <t>07739700510</t>
  </si>
  <si>
    <t>Hardwire OBD to ignition.</t>
  </si>
  <si>
    <t>Pat/Alan Taylor</t>
  </si>
  <si>
    <t>SG16ZXH</t>
  </si>
  <si>
    <t>07725207463</t>
  </si>
  <si>
    <t>Aeon19 Ltd</t>
  </si>
  <si>
    <t>YN16XMG</t>
  </si>
  <si>
    <t>07760839611</t>
  </si>
  <si>
    <t>YN16XOC</t>
  </si>
  <si>
    <t>PO65KKJ</t>
  </si>
  <si>
    <t>PL13KYK</t>
  </si>
  <si>
    <t>KR13LRN</t>
  </si>
  <si>
    <t>Diamond 2 U Distribution Ltd</t>
  </si>
  <si>
    <t>ML70VBZ</t>
  </si>
  <si>
    <t>07592167912</t>
  </si>
  <si>
    <t>MT20HKZ</t>
  </si>
  <si>
    <t>MT20HKM swapped by mistake.</t>
  </si>
  <si>
    <t>OV21TVA</t>
  </si>
  <si>
    <t>MF21PZO</t>
  </si>
  <si>
    <t>07385825590</t>
  </si>
  <si>
    <t>Simbaz Group Ltd</t>
  </si>
  <si>
    <t>PL13EFE</t>
  </si>
  <si>
    <t>07312000296</t>
  </si>
  <si>
    <t>Barlows UK Ltd</t>
  </si>
  <si>
    <t>CY19LZC</t>
  </si>
  <si>
    <t>03303110999</t>
  </si>
  <si>
    <t>The KP1 has stopped working and will need replacing with a CP2 if it can't be repaired. Available from 08:00 - 16:00.</t>
  </si>
  <si>
    <t>Reposition required.</t>
  </si>
  <si>
    <t>Chemroal Ltd</t>
  </si>
  <si>
    <t>EU55EFP</t>
  </si>
  <si>
    <t>07545315240</t>
  </si>
  <si>
    <t>EY57EFW</t>
  </si>
  <si>
    <t>FJ56HMC</t>
  </si>
  <si>
    <t>Zebra Food Ltd</t>
  </si>
  <si>
    <t>LF21JJV</t>
  </si>
  <si>
    <t>07748414919</t>
  </si>
  <si>
    <t>LF21JJX</t>
  </si>
  <si>
    <t>Parveen Transport Ltd</t>
  </si>
  <si>
    <t>NX65YBK</t>
  </si>
  <si>
    <t>07459931011</t>
  </si>
  <si>
    <t>DC65WUO</t>
  </si>
  <si>
    <t>The Whitcut Consultancy Ltd</t>
  </si>
  <si>
    <t>FN71ZSD</t>
  </si>
  <si>
    <t>07802808350</t>
  </si>
  <si>
    <t>Cancelled - 26/11/21.</t>
  </si>
  <si>
    <t>PO65UYJ</t>
  </si>
  <si>
    <t>T Darlington Contractors Ltd</t>
  </si>
  <si>
    <t>CN64WDG</t>
  </si>
  <si>
    <t>07930163999</t>
  </si>
  <si>
    <t>PV15SVK</t>
  </si>
  <si>
    <t>V88BBT</t>
  </si>
  <si>
    <t>AP17VNM</t>
  </si>
  <si>
    <t>BG20OGO</t>
  </si>
  <si>
    <t>Prime Parcel Services Ltd</t>
  </si>
  <si>
    <t>YJ65WTU</t>
  </si>
  <si>
    <t>07940030869</t>
  </si>
  <si>
    <t>YF65TVK</t>
  </si>
  <si>
    <t>WT21OUW</t>
  </si>
  <si>
    <t>WT21OVD</t>
  </si>
  <si>
    <t>HT70JFO</t>
  </si>
  <si>
    <t>Registration previously given DP70FJZ.</t>
  </si>
  <si>
    <t>WU67AUW</t>
  </si>
  <si>
    <t>Re-install of old cameras (with fleet) with new DVR install.</t>
  </si>
  <si>
    <t>Driver Hire Lanark Ltd</t>
  </si>
  <si>
    <t>NU20ZGE</t>
  </si>
  <si>
    <t>07583386891</t>
  </si>
  <si>
    <t>MJ20UKT</t>
  </si>
  <si>
    <t>Robertson's Logistic Services Ltd</t>
  </si>
  <si>
    <t>BT20HNO</t>
  </si>
  <si>
    <t>07383840013</t>
  </si>
  <si>
    <t>BN18NVY</t>
  </si>
  <si>
    <t>BT71HMU</t>
  </si>
  <si>
    <t>Registration previously given GX69ZYN.</t>
  </si>
  <si>
    <t>FN68ZDT</t>
  </si>
  <si>
    <t>NU20DFF</t>
  </si>
  <si>
    <t>KO21DYV</t>
  </si>
  <si>
    <t>DW69BFU</t>
  </si>
  <si>
    <t>GL70PYD</t>
  </si>
  <si>
    <t>DV70UGE</t>
  </si>
  <si>
    <t>Toshi Technologies Ltd</t>
  </si>
  <si>
    <t>MA71EKW</t>
  </si>
  <si>
    <t>07786085301</t>
  </si>
  <si>
    <t>MD21YXL</t>
  </si>
  <si>
    <t>MD21YXO</t>
  </si>
  <si>
    <t>MD21YXP</t>
  </si>
  <si>
    <t>MF71ZVN</t>
  </si>
  <si>
    <t>EX62RCZ</t>
  </si>
  <si>
    <t>Cancelled - 24/11/21.</t>
  </si>
  <si>
    <t>YS52JNJ</t>
  </si>
  <si>
    <t>Trees For Cities</t>
  </si>
  <si>
    <t>BG13ULT</t>
  </si>
  <si>
    <t>07591387653</t>
  </si>
  <si>
    <t>R.S.N Cargo Tran's Ltd</t>
  </si>
  <si>
    <t>HN15VYJ</t>
  </si>
  <si>
    <t xml:space="preserve">James May </t>
  </si>
  <si>
    <t>07436554783</t>
  </si>
  <si>
    <t>KT13XJE</t>
  </si>
  <si>
    <t>SC65CZO</t>
  </si>
  <si>
    <t>GL16GEK</t>
  </si>
  <si>
    <t>KY67MBV</t>
  </si>
  <si>
    <t>WU66DNY</t>
  </si>
  <si>
    <t>NK17UCL </t>
  </si>
  <si>
    <t xml:space="preserve">Central Waste Services Ltd	</t>
  </si>
  <si>
    <t>NX19OFB</t>
  </si>
  <si>
    <t>02073841221</t>
  </si>
  <si>
    <t>NX19OGM</t>
  </si>
  <si>
    <t>Cancelled 02/12/21.</t>
  </si>
  <si>
    <t>Voyage Care</t>
  </si>
  <si>
    <t>BV63LNY</t>
  </si>
  <si>
    <t>01945464286</t>
  </si>
  <si>
    <t>WR69XMV</t>
  </si>
  <si>
    <t>07841015818</t>
  </si>
  <si>
    <t>Registration previously given CN19CXK.</t>
  </si>
  <si>
    <t>FN19VCD</t>
  </si>
  <si>
    <t>EN69OPP</t>
  </si>
  <si>
    <t>The Sea, The Sea</t>
  </si>
  <si>
    <t>WX18WYW</t>
  </si>
  <si>
    <t>07775594081</t>
  </si>
  <si>
    <t>ML71XUX</t>
  </si>
  <si>
    <t>ML71XVP</t>
  </si>
  <si>
    <t>KV65YBT</t>
  </si>
  <si>
    <t>08000096614</t>
  </si>
  <si>
    <t>WX17HBK</t>
  </si>
  <si>
    <t>Drop Box Logistics Ltd</t>
  </si>
  <si>
    <t>AY66NNJ</t>
  </si>
  <si>
    <t>07714236043</t>
  </si>
  <si>
    <t>GS13REV</t>
  </si>
  <si>
    <t>07392707452</t>
  </si>
  <si>
    <t>SVL Couriers Ltd</t>
  </si>
  <si>
    <t>LK65AUO</t>
  </si>
  <si>
    <t>01322388800</t>
  </si>
  <si>
    <t>MF66AHN</t>
  </si>
  <si>
    <t>MF71VMP</t>
  </si>
  <si>
    <t>MF71VMH</t>
  </si>
  <si>
    <t>OU68CCE</t>
  </si>
  <si>
    <t>07977032753</t>
  </si>
  <si>
    <t>Nanak Transport Ltd</t>
  </si>
  <si>
    <t>FX17KCJ</t>
  </si>
  <si>
    <t>07976930221</t>
  </si>
  <si>
    <t>Forward facing cam reposition.</t>
  </si>
  <si>
    <t>FX17KCN</t>
  </si>
  <si>
    <t>FX17KCU</t>
  </si>
  <si>
    <t>Forward facing cam reposition. DVR swap required.</t>
  </si>
  <si>
    <t>LJ66KXD</t>
  </si>
  <si>
    <t>DVR swap required.</t>
  </si>
  <si>
    <t>HD Rentals Ltd</t>
  </si>
  <si>
    <t>VF68LKJ</t>
  </si>
  <si>
    <t>07754277636</t>
  </si>
  <si>
    <t>CP19SKE</t>
  </si>
  <si>
    <t>Lions Logistics Support Ltd</t>
  </si>
  <si>
    <t>NX71SDY</t>
  </si>
  <si>
    <t>07899858531</t>
  </si>
  <si>
    <t>Faulty camera to be returned to hub.</t>
  </si>
  <si>
    <t>NX71SDZ</t>
  </si>
  <si>
    <t>NX71SEO</t>
  </si>
  <si>
    <t>NX71SFK</t>
  </si>
  <si>
    <t>NX71SFU</t>
  </si>
  <si>
    <t>NX71SGU</t>
  </si>
  <si>
    <t>NX71SHJ</t>
  </si>
  <si>
    <t>J.R.Bailey's Ltd</t>
  </si>
  <si>
    <t>YK64MBU</t>
  </si>
  <si>
    <t>07903629443</t>
  </si>
  <si>
    <t>NU65VJG</t>
  </si>
  <si>
    <t>LK14BXX</t>
  </si>
  <si>
    <t>PN14HVY</t>
  </si>
  <si>
    <t>Elm Surfacing Ltd</t>
  </si>
  <si>
    <t>FP18CWL</t>
  </si>
  <si>
    <t>01795430233</t>
  </si>
  <si>
    <t>FP18BYN</t>
  </si>
  <si>
    <t>DSK Logistics Ltd</t>
  </si>
  <si>
    <t>07427668981</t>
  </si>
  <si>
    <t>DU66CKC</t>
  </si>
  <si>
    <t>Flash Dispatch Ltd</t>
  </si>
  <si>
    <t>GN16HWD</t>
  </si>
  <si>
    <t>07557868255</t>
  </si>
  <si>
    <t>YY71OBD</t>
  </si>
  <si>
    <t>Stackdrive Logistics Ltd</t>
  </si>
  <si>
    <t>BD67EXX</t>
  </si>
  <si>
    <t>07487612345</t>
  </si>
  <si>
    <t>WR65KLV</t>
  </si>
  <si>
    <t>HN70WHC</t>
  </si>
  <si>
    <t>07494240359</t>
  </si>
  <si>
    <t>Tamangwa Ltd</t>
  </si>
  <si>
    <t>FH70UPR</t>
  </si>
  <si>
    <t>07719097591</t>
  </si>
  <si>
    <t>KO66GYN</t>
  </si>
  <si>
    <t>KR19RMY</t>
  </si>
  <si>
    <t>KX18MHN</t>
  </si>
  <si>
    <t>Agnes Logistics Ltd</t>
  </si>
  <si>
    <t>DY70UUD</t>
  </si>
  <si>
    <t>07793013820</t>
  </si>
  <si>
    <t>DX69ZVB</t>
  </si>
  <si>
    <t>RJ21MZU</t>
  </si>
  <si>
    <t>DY21YOP</t>
  </si>
  <si>
    <t>DL70BJZ</t>
  </si>
  <si>
    <t>Ecoblockcrete Ltd</t>
  </si>
  <si>
    <t>PN20FNT</t>
  </si>
  <si>
    <t>07776729042</t>
  </si>
  <si>
    <t>FX19ZND</t>
  </si>
  <si>
    <t>01964543332</t>
  </si>
  <si>
    <t>Brennan Express Haulage Ltd</t>
  </si>
  <si>
    <t>SN58DKY</t>
  </si>
  <si>
    <t>07973483798</t>
  </si>
  <si>
    <t>NU18WCK</t>
  </si>
  <si>
    <t>Tunnel Avenue</t>
  </si>
  <si>
    <t>CT19WFB</t>
  </si>
  <si>
    <t>07590818530</t>
  </si>
  <si>
    <t>NU18WCJ</t>
  </si>
  <si>
    <t>Cancelled - 07/01/22.</t>
  </si>
  <si>
    <t>MT71YOL</t>
  </si>
  <si>
    <t>Faulty side scan.</t>
  </si>
  <si>
    <t>Hertfordshire Plant Ltd</t>
  </si>
  <si>
    <t>BX17ZGH</t>
  </si>
  <si>
    <t>07853843439</t>
  </si>
  <si>
    <t>BX17ZGJ</t>
  </si>
  <si>
    <t>GF69SFO</t>
  </si>
  <si>
    <t>HJ67VXX</t>
  </si>
  <si>
    <t>Device keeps rebooting as well as falling down, may need replacing.</t>
  </si>
  <si>
    <t>MJ71TOH</t>
  </si>
  <si>
    <t>Fleet Express &amp; Logistics Ltd</t>
  </si>
  <si>
    <t>CT68WKA</t>
  </si>
  <si>
    <t>07824594270</t>
  </si>
  <si>
    <t>CY68KLA</t>
  </si>
  <si>
    <t>01922611288</t>
  </si>
  <si>
    <t>MFM Logistics Ltd</t>
  </si>
  <si>
    <t>07984431800</t>
  </si>
  <si>
    <t>EF63WSN</t>
  </si>
  <si>
    <t>ANCA Logistics Ltd</t>
  </si>
  <si>
    <t>07887370986</t>
  </si>
  <si>
    <t>C&amp;C Del Ltd</t>
  </si>
  <si>
    <t>MD64NVX</t>
  </si>
  <si>
    <t>07413676272</t>
  </si>
  <si>
    <t>Return camera to hub please.</t>
  </si>
  <si>
    <t>HLS Hire &amp; Logistics Ltd</t>
  </si>
  <si>
    <t>WR14KVO</t>
  </si>
  <si>
    <t>07812222012</t>
  </si>
  <si>
    <t>Dave Robinson Transport Ltd</t>
  </si>
  <si>
    <t>SM65WXE</t>
  </si>
  <si>
    <t>07593316744</t>
  </si>
  <si>
    <t>KR21SXG</t>
  </si>
  <si>
    <t>MT70UYL</t>
  </si>
  <si>
    <t>PJC Plant Services (Leics) Ltd</t>
  </si>
  <si>
    <t>NK16XWP</t>
  </si>
  <si>
    <t>07526170715</t>
  </si>
  <si>
    <t>BK16EHW</t>
  </si>
  <si>
    <t>FJ10BXP</t>
  </si>
  <si>
    <t>BC65HRO</t>
  </si>
  <si>
    <t>YH16EVP</t>
  </si>
  <si>
    <t>BK61GHD</t>
  </si>
  <si>
    <t>A E Chilled Ltd</t>
  </si>
  <si>
    <t>GF71ONC</t>
  </si>
  <si>
    <t>07850496949</t>
  </si>
  <si>
    <t>GL71HKG</t>
  </si>
  <si>
    <t>GL71HKD</t>
  </si>
  <si>
    <t>GL71HKB</t>
  </si>
  <si>
    <t>GF71OLP</t>
  </si>
  <si>
    <t>1st Call Car Hire Ltd</t>
  </si>
  <si>
    <t>LJ18NWW</t>
  </si>
  <si>
    <t>07946120098</t>
  </si>
  <si>
    <t>Wire cut - chargeable.</t>
  </si>
  <si>
    <t xml:space="preserve">07756394398 </t>
  </si>
  <si>
    <t>Marks Way Service Ltd</t>
  </si>
  <si>
    <t>LC20AKK</t>
  </si>
  <si>
    <t>07542476754</t>
  </si>
  <si>
    <t>OW66SCX</t>
  </si>
  <si>
    <t>07572455877</t>
  </si>
  <si>
    <t>ML71XUD</t>
  </si>
  <si>
    <t>MF71VXW</t>
  </si>
  <si>
    <t>live stock auction house, Bawtry Road, Selby, YO88NB.</t>
  </si>
  <si>
    <t>Baird Cl, Hadleigh Road Industrial Estate, Ipswich, IP20UF.</t>
  </si>
  <si>
    <t>Travelodge A47 Roundabout Acle Bypass Acle Norfolk, NR133BE.</t>
  </si>
  <si>
    <t>Crabtree manorway Tuffnells parcel express, DA176BT.</t>
  </si>
  <si>
    <t>21 Commercial way, Abbey Road Industrial Park, Park Royal, NW107XF.</t>
  </si>
  <si>
    <t>53 Lower St, Kettering, NN168BH.</t>
  </si>
  <si>
    <t>62 Wakemans Hill Ave, London, NW90UJ.</t>
  </si>
  <si>
    <t>Courier Service, Road B, Hawley Park Road east. Mortley Leeds, LS270BN.</t>
  </si>
  <si>
    <t>68-80 Montgomery St, Birmingham, B111DT.</t>
  </si>
  <si>
    <t>The Breeches, Galley Hill, Waltham Abbey, EN92AG.</t>
  </si>
  <si>
    <t>Hireco Building, 7a Juliette Way, Purfleet Industrial Estate, RM154YA.</t>
  </si>
  <si>
    <t>11 Westbourne Road, Solihull, B928AT.</t>
  </si>
  <si>
    <t>Overwood, Woodcote Ln, Woodcote Green, Bromsgrove, B619EE.</t>
  </si>
  <si>
    <t>Pucklechurch, Bristol, BS169QH.</t>
  </si>
  <si>
    <t>DX freight, Roach bank road, pilsworth industrial estate, BL98RQ.</t>
  </si>
  <si>
    <t>Yodel Waltham Cross G Park, 6 Mollison Ave, Waltham Cross, EN37XQ.</t>
  </si>
  <si>
    <t>Unit 5 Constable Crescent, Tottenham, N154QZ.</t>
  </si>
  <si>
    <t>5 Parkhouse Business Centre, Desborough Park Road, High Wycombe, Bucks, HP123DJ.</t>
  </si>
  <si>
    <t>Unit E, 209 Manor Road, Erith, DA82AD.</t>
  </si>
  <si>
    <t>Vauxhall, 73 Bondway. SW81RY.</t>
  </si>
  <si>
    <t>Riverpark Trading Est, Riverpark Rd, M402XP.</t>
  </si>
  <si>
    <t>Hellaby Indust, Rotherham, S668HN.</t>
  </si>
  <si>
    <t>Unit 72 Bradleyhall indust, Standish Wigan, WN60YS.</t>
  </si>
  <si>
    <t>Yodel Bellshill, 4 Rosehall Road, Bellshill, ML43NR.</t>
  </si>
  <si>
    <t>108 FARHAM ROAD¸ GOSPORT, PO130BB.</t>
  </si>
  <si>
    <t>DHL Site, Cambuslang Rd, G328NB.</t>
  </si>
  <si>
    <t>DX Freight, Unit 6, OakBank Industrial Estate, Oakbank Park Pl, Livingston, EH53OTN.</t>
  </si>
  <si>
    <t>Q Park, Oxford St, W1G0PG.</t>
  </si>
  <si>
    <t>149 Westmininster Dr, MK36LP.</t>
  </si>
  <si>
    <t>9 Cormont road (to enter Myatts Field Park), SE59RA.</t>
  </si>
  <si>
    <t>Ash St, Leicester, LE50DA.</t>
  </si>
  <si>
    <t>Skip it, College Rd, KT174JA.</t>
  </si>
  <si>
    <t>Barton Rd, Wisbech, PE134TG.</t>
  </si>
  <si>
    <t>Courier Bridge, water Ave, bolton, BL51EE.</t>
  </si>
  <si>
    <t>Acton Mews, Arch 337, London, E84EF.</t>
  </si>
  <si>
    <t>20 Vickers Dr N, Weybridge, KT130YU.</t>
  </si>
  <si>
    <t>31-33 Longbridge Ln, Ascot drive, Derby, DE248UJ.</t>
  </si>
  <si>
    <t>Starbank, Junction lane, Valley Industrial estate, Newton le Willows, WA129DN.</t>
  </si>
  <si>
    <t>Maltese Court, Rawreth Lane, Rochford, Rayleigh, SS69RL.</t>
  </si>
  <si>
    <t>Unit 21 Commercial Way, Park Royal, NW107XF.</t>
  </si>
  <si>
    <t>The Grove, High Pitfold, GU266BN.</t>
  </si>
  <si>
    <t>Euro Storage, Heathrow, TW62DN.</t>
  </si>
  <si>
    <t>160-164 Lancaster Road North, Access Via Lady Street, Preston, PR12PZ.</t>
  </si>
  <si>
    <t>Lowfield Stables Yard, Lyne Crossing Rd, Lyne, Chertsey, KT160AT.</t>
  </si>
  <si>
    <t>9 Field road, Denham, UB94HJ.</t>
  </si>
  <si>
    <t>Adelaide Dock, Symmonds Drive Sittingbourne Kent, ME103SY.</t>
  </si>
  <si>
    <t>Formal Security Office, Lostock Ln, Bolton, BL64BL.</t>
  </si>
  <si>
    <t>DPD local 8 freebournes Road, CM83UN.</t>
  </si>
  <si>
    <t>Euro Storage, Station Rd, Langley, SL36ED.</t>
  </si>
  <si>
    <t>18 Ivy Street,Rainham, ME88BE.</t>
  </si>
  <si>
    <t>Moulton Park Est, NN36AQ.</t>
  </si>
  <si>
    <t>DHL Express Colchester, CO49QJ.</t>
  </si>
  <si>
    <t>Ecoblockcrete, Pontefract Ln, Leeds, LS90RA.</t>
  </si>
  <si>
    <t>Voyage Care, The Granary, Church Ln, Brandesburton, YO258QZ.</t>
  </si>
  <si>
    <t>76 Goodman St, Leeds, LS101NY.</t>
  </si>
  <si>
    <t>Euro Storage, Heathrow. TW62DN.</t>
  </si>
  <si>
    <t>38 Thorney Ln, Iver, SL09HE.</t>
  </si>
  <si>
    <t>51 Hemini Court, Stirling Way Borehamwood Herts, WD62GA.</t>
  </si>
  <si>
    <t>DPD Local, Wharf Approach, Aldridge, WS98BX.</t>
  </si>
  <si>
    <t>Fix Auto Walsall, Henry Street, Walsall, WS29NT.</t>
  </si>
  <si>
    <t>Amazon Compound, Bankwood Road Industrial Est, DN110PS.</t>
  </si>
  <si>
    <t>Ten Acre Respite, 89 Ten Acre Road, Kimberworth Park, Rotherham, S613RW.</t>
  </si>
  <si>
    <t>Envision House ( Next to The Powerhouse), Teesside Airport, Darlington, County Durham, DL21TS.</t>
  </si>
  <si>
    <t>5 Bencroft Rd, Hemel Hempstead, HP25UX,</t>
  </si>
  <si>
    <t>Kilby Bridge Farm, Durnford Road, Wigston, Leicester, LE182RG.</t>
  </si>
  <si>
    <t>The Grove, Bradwell, Milton Keynes, MK139AU.</t>
  </si>
  <si>
    <t>33 Ravensbridge Drive, Leicester, LE40BX.</t>
  </si>
  <si>
    <t>CVME, Wilcox close, Aylesham ind est, Aylesham, CT33EP.</t>
  </si>
  <si>
    <t>152 St Helens Rd, Bolton, BL33PL.</t>
  </si>
  <si>
    <t>DPD depot, Howley Park Road East, Morley, LS27OFU.</t>
  </si>
  <si>
    <t>69 Wallis Place, Hart str, Maidstone, ME168FB.</t>
  </si>
  <si>
    <t>ANVSJ c/o Whitcut, 8 Hellaby Lane, Rotherham, S668HN.</t>
  </si>
  <si>
    <t>01709558639 / 07892789818</t>
  </si>
  <si>
    <t>Kit With</t>
  </si>
  <si>
    <t>Customer</t>
  </si>
  <si>
    <t>Engineer</t>
  </si>
  <si>
    <t>Not required</t>
  </si>
  <si>
    <t>Engineer Assigned</t>
  </si>
  <si>
    <t>Date Booked For</t>
  </si>
  <si>
    <t>Install Address</t>
  </si>
  <si>
    <t>Conatct Telephone</t>
  </si>
  <si>
    <t>Alec B Storey</t>
  </si>
  <si>
    <t>N &amp; A Logistics Ltd</t>
  </si>
  <si>
    <t>New/Current VRM</t>
  </si>
  <si>
    <t>NJ21FPT</t>
  </si>
  <si>
    <t>BF71EKN</t>
  </si>
  <si>
    <t>NJ21FBZ</t>
  </si>
  <si>
    <t>BF71ENR</t>
  </si>
  <si>
    <t>MT71YRR</t>
  </si>
  <si>
    <t>MT71GYF</t>
  </si>
  <si>
    <t>MT71YPK</t>
  </si>
  <si>
    <t>MF71VYK</t>
  </si>
  <si>
    <t>KJ69KXG</t>
  </si>
  <si>
    <t>LC21PBX</t>
  </si>
  <si>
    <t>LX15RPO</t>
  </si>
  <si>
    <t>HX66XTD</t>
  </si>
  <si>
    <t>OV69CWL</t>
  </si>
  <si>
    <t>LE19FLN</t>
  </si>
  <si>
    <t>MT71YRY</t>
  </si>
  <si>
    <t>MT71GZW</t>
  </si>
  <si>
    <t>ML71XWG</t>
  </si>
  <si>
    <t>MF71VLR</t>
  </si>
  <si>
    <t>Old VRM (if applicable)</t>
  </si>
  <si>
    <t>Reposition/Wiring Check.</t>
  </si>
  <si>
    <t>Reposition.</t>
  </si>
  <si>
    <t>Job Type</t>
  </si>
  <si>
    <t>Device Model</t>
  </si>
  <si>
    <t>Tracker de-install also required.</t>
  </si>
  <si>
    <t>SD card swap required.</t>
  </si>
  <si>
    <t>Faulty left turn audible alarm.</t>
  </si>
  <si>
    <t>Faulty left turn audible alarm. Charlie attended - 03/12/21. Revisit may be required with replacement kit.</t>
  </si>
  <si>
    <t>AI-12</t>
  </si>
  <si>
    <t>AP1</t>
  </si>
  <si>
    <t>None</t>
  </si>
  <si>
    <t>Faulty monitor. Need to send Jim Monitor. Cancelled 02/12/21.</t>
  </si>
  <si>
    <t>Service Call</t>
  </si>
  <si>
    <t>Installation</t>
  </si>
  <si>
    <t>De-Installation</t>
  </si>
  <si>
    <t>Priority</t>
  </si>
  <si>
    <t>Standard</t>
  </si>
  <si>
    <t>KP1-S</t>
  </si>
  <si>
    <t>CP2-EU-LTE</t>
  </si>
  <si>
    <t>CP2-EU-LTE (Rear, Monitor)</t>
  </si>
  <si>
    <t>CP2-EU</t>
  </si>
  <si>
    <t xml:space="preserve">	CRX-S (Forward, Near-Side, Off-Side, Internal, Rear, Rear)</t>
  </si>
  <si>
    <t>CP4S-EU (Forward, Near-Side, Off-Side, Internal)</t>
  </si>
  <si>
    <t>CP4S-EU (Forward, Near-Side, Off-Side, Rear)</t>
  </si>
  <si>
    <t>CP4-E (Forward, Near-Side, Off-Side, Internal)</t>
  </si>
  <si>
    <t>CP4-E (Forward, Near-Side, Off-Side)</t>
  </si>
  <si>
    <t>Contact</t>
  </si>
  <si>
    <t>2021-11-15</t>
  </si>
  <si>
    <t>2021-11-17</t>
  </si>
  <si>
    <t>2021-11-19</t>
  </si>
  <si>
    <t>2021-11-13</t>
  </si>
  <si>
    <t>2021-11-18</t>
  </si>
  <si>
    <t>2021-11-16</t>
  </si>
  <si>
    <t>2021-11-22</t>
  </si>
  <si>
    <t>2021-11-24</t>
  </si>
  <si>
    <t>2021-11-23</t>
  </si>
  <si>
    <t>2021-11-29</t>
  </si>
  <si>
    <t>2021-11-30</t>
  </si>
  <si>
    <t>2021-12-01</t>
  </si>
  <si>
    <t>2021-11-26</t>
  </si>
  <si>
    <t>2021-12-06</t>
  </si>
  <si>
    <t>2021-12-08</t>
  </si>
  <si>
    <t>2021-12-15</t>
  </si>
  <si>
    <t>2021-12-19</t>
  </si>
  <si>
    <t>2021-11-12</t>
  </si>
  <si>
    <t>2021-12-13</t>
  </si>
  <si>
    <t>2021-12-20</t>
  </si>
  <si>
    <t>2021-12-14</t>
  </si>
  <si>
    <t>2021-12-09</t>
  </si>
  <si>
    <t>2021-12-31</t>
  </si>
  <si>
    <t>2022-01-04</t>
  </si>
  <si>
    <t>2021-12-22</t>
  </si>
  <si>
    <t>2021-12-23</t>
  </si>
  <si>
    <t>2022-01-05</t>
  </si>
  <si>
    <t>2021-12-10</t>
  </si>
  <si>
    <t>2022-01-11</t>
  </si>
  <si>
    <t>2021-11-25</t>
  </si>
  <si>
    <t>2021-12-29</t>
  </si>
  <si>
    <t>2022-01-18</t>
  </si>
  <si>
    <t>2022-01-17</t>
  </si>
  <si>
    <t>2021-12-16</t>
  </si>
  <si>
    <t>2022-01-07</t>
  </si>
  <si>
    <t>2022-01-24</t>
  </si>
  <si>
    <t>2022-01-10</t>
  </si>
  <si>
    <t>2022-01-12</t>
  </si>
  <si>
    <t>2022-01-25</t>
  </si>
  <si>
    <t>Simon Storey</t>
  </si>
  <si>
    <t>Marc Goldin</t>
  </si>
  <si>
    <t>Dragos Visan</t>
  </si>
  <si>
    <t>Andrew Toendepi</t>
  </si>
  <si>
    <t>Russell Gould</t>
  </si>
  <si>
    <t xml:space="preserve">Marius </t>
  </si>
  <si>
    <t>Simon Harrison</t>
  </si>
  <si>
    <t>Obi Madunagu</t>
  </si>
  <si>
    <t>Emil Mihaylov</t>
  </si>
  <si>
    <t>Danny Coleman</t>
  </si>
  <si>
    <t>Steve Clarke</t>
  </si>
  <si>
    <t>Dean Benson</t>
  </si>
  <si>
    <t>Sadir Hassan</t>
  </si>
  <si>
    <t>Mark Barlow</t>
  </si>
  <si>
    <t>Greg Eoff</t>
  </si>
  <si>
    <t>Ezio Menga</t>
  </si>
  <si>
    <t>Ryan Whitcut</t>
  </si>
  <si>
    <t xml:space="preserve">Syed </t>
  </si>
  <si>
    <t>Tom Darlington</t>
  </si>
  <si>
    <t>Andrew Muir</t>
  </si>
  <si>
    <t>Mike Lunn</t>
  </si>
  <si>
    <t>Ian Graham</t>
  </si>
  <si>
    <t>Stephen Robertson</t>
  </si>
  <si>
    <t>Alexander Russell</t>
  </si>
  <si>
    <t>Oscar Thompson</t>
  </si>
  <si>
    <t>Nitish Bhardwaj</t>
  </si>
  <si>
    <t>Mo Maan</t>
  </si>
  <si>
    <t>Alison Sparrow</t>
  </si>
  <si>
    <t>Matthew Rose</t>
  </si>
  <si>
    <t>Shahbaz Khan</t>
  </si>
  <si>
    <t>Laura Fogliata</t>
  </si>
  <si>
    <t>Linsey Westwood</t>
  </si>
  <si>
    <t>Baljit Bains</t>
  </si>
  <si>
    <t>Zakir Badat</t>
  </si>
  <si>
    <t>Adrian Percival</t>
  </si>
  <si>
    <t>Mary Mcdonnell</t>
  </si>
  <si>
    <t>Ronald Schreur</t>
  </si>
  <si>
    <t>Damian Swiderski</t>
  </si>
  <si>
    <t>John Nnorom</t>
  </si>
  <si>
    <t>Harman Brar</t>
  </si>
  <si>
    <t>Agherenwi Neba</t>
  </si>
  <si>
    <t>Matthew Westley</t>
  </si>
  <si>
    <t>Michelle Beaumont</t>
  </si>
  <si>
    <t>Phill Brennan</t>
  </si>
  <si>
    <t>Steven   O&amp;#39;leary</t>
  </si>
  <si>
    <t>Steven Wiliamson</t>
  </si>
  <si>
    <t>Matthew Heslop</t>
  </si>
  <si>
    <t>Neil Casey</t>
  </si>
  <si>
    <t>George Stoian</t>
  </si>
  <si>
    <t>Chloe Hadfield</t>
  </si>
  <si>
    <t>Daniel Hartley</t>
  </si>
  <si>
    <t>Dave Robinson</t>
  </si>
  <si>
    <t>Alan Emslie</t>
  </si>
  <si>
    <t>Abdul Hanslod</t>
  </si>
  <si>
    <t>Rob Wright</t>
  </si>
  <si>
    <t>Yulian Antov</t>
  </si>
  <si>
    <t>INSERT INTO tblJobs (ownerID, date, jobType, VRN, notes, status, cameraTypeID, quantity, otherKitFlag, priorityIsUrgent, JobRate, bookingContact, bookingEmail, BookingTelephone, bookingAddress, equipmentLocationID, engineerID, jobCompleteFlag, TDHSignOff, dateAdded, oldVRN)</t>
  </si>
  <si>
    <t>simon.storey@eurotelonline.com</t>
  </si>
  <si>
    <t>info@pandjtransport.co.uk</t>
  </si>
  <si>
    <t>cdlogistic2020@gmail.com</t>
  </si>
  <si>
    <t>admin@authentickare.co.uk</t>
  </si>
  <si>
    <t>RussellGould@toga.co.uk</t>
  </si>
  <si>
    <t>zmarius87@gmail.com</t>
  </si>
  <si>
    <t>simon.harrison@the4allgroup.com</t>
  </si>
  <si>
    <t>logistics@bloompageconsulting.co.uk</t>
  </si>
  <si>
    <t>aeon19ltd@gmail.com</t>
  </si>
  <si>
    <t>info@colemantransport.co.uk</t>
  </si>
  <si>
    <t>Steve.Clarke@profilehandling.co.uk</t>
  </si>
  <si>
    <t>diamond2umanchester@gmail.com</t>
  </si>
  <si>
    <t>s.hassan@simbazgroup.com</t>
  </si>
  <si>
    <t>mark.barlow@barlows-electrical.com</t>
  </si>
  <si>
    <t>gregroff@hotmail.co.uk</t>
  </si>
  <si>
    <t>ezio@zebrafoodie.com</t>
  </si>
  <si>
    <t>ryan@whitcut.co.uk</t>
  </si>
  <si>
    <t>syedh57@yahoo.com</t>
  </si>
  <si>
    <t>tpddemolition@hotmail.com</t>
  </si>
  <si>
    <t>andrew.muir@pps-pps.co.uk</t>
  </si>
  <si>
    <t>mike@paper-mountain.net</t>
  </si>
  <si>
    <t>g726631@aol.com</t>
  </si>
  <si>
    <t>robertsonslogisticservices@outlook.com</t>
  </si>
  <si>
    <t>alex@toshi.co</t>
  </si>
  <si>
    <t>oscar@treesforcities.org</t>
  </si>
  <si>
    <t>k.rakesh48@yahoo.it</t>
  </si>
  <si>
    <t>accounts@skipit.london</t>
  </si>
  <si>
    <t>AlisonSparrow@voyagecare.com</t>
  </si>
  <si>
    <t>matt@maade.co</t>
  </si>
  <si>
    <t>shahbaz.khan@dropboxlogistics.com</t>
  </si>
  <si>
    <t>admin@nalogistics.co.uk</t>
  </si>
  <si>
    <t>l.westwood@savoyventures.com</t>
  </si>
  <si>
    <t>nanaktransportltd@gmail.com</t>
  </si>
  <si>
    <t>zakir@Ayphealthcare.co.uk</t>
  </si>
  <si>
    <t>adrian@logistics-support.co.uk</t>
  </si>
  <si>
    <t>jrbaileyco@outlook.com</t>
  </si>
  <si>
    <t>Ronald.Schreur@elmsurfacing.com</t>
  </si>
  <si>
    <t>Damian@dsk.me.uk</t>
  </si>
  <si>
    <t>jostrategic@gmail.com</t>
  </si>
  <si>
    <t>accounts@stackdrive.co.uk</t>
  </si>
  <si>
    <t>info@tamangwashipping.com</t>
  </si>
  <si>
    <t>info@agneslogistics.co.uk</t>
  </si>
  <si>
    <t>accounts@ecoblockcrete.com</t>
  </si>
  <si>
    <t>brennanhaulage@aol.com</t>
  </si>
  <si>
    <t>stevenoleary37@icloud.com</t>
  </si>
  <si>
    <t>steve.williamson@dpdlocal.co.uk</t>
  </si>
  <si>
    <t>matthew.heslop@mfmdelivery.com</t>
  </si>
  <si>
    <t>n.casey925@btinternet.com</t>
  </si>
  <si>
    <t>Claucos7488@gmail.com</t>
  </si>
  <si>
    <t>chloe.hadfield@hlstransport.co.uk</t>
  </si>
  <si>
    <t>dhartley@pjcplantltd.com</t>
  </si>
  <si>
    <t>daverobinsontransport@hotmail.com</t>
  </si>
  <si>
    <t>Alan.emslie@aechilled.co.uk</t>
  </si>
  <si>
    <t>1stcallcarhire@gmail.com</t>
  </si>
  <si>
    <t>rlhlogistics@gmail.com</t>
  </si>
  <si>
    <t>markswayservices@gmail.com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</si>
</sst>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;[Red]\-&quot;£&quot;#,##0"/>
  </numFmts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1" xfId="0" applyNumberFormat="1" applyFill="1" applyBorder="1" applyAlignment="1">
      <alignment horizontal="left" vertical="top"/>
    </xf>
    <xf numFmtId="164" fontId="0" fillId="0" borderId="3" xfId="0" applyNumberFormat="1" applyFill="1" applyBorder="1" applyAlignment="1">
      <alignment horizontal="left" vertical="top"/>
    </xf>
    <xf numFmtId="164" fontId="0" fillId="0" borderId="4" xfId="0" applyNumberFormat="1" applyFill="1" applyBorder="1" applyAlignment="1">
      <alignment horizontal="left" vertical="top"/>
    </xf>
    <xf numFmtId="22" fontId="0" fillId="0" borderId="1" xfId="0" applyNumberFormat="1" applyFill="1" applyBorder="1" applyAlignment="1">
      <alignment horizontal="left" vertical="top"/>
    </xf>
    <xf numFmtId="14" fontId="0" fillId="0" borderId="1" xfId="0" applyNumberFormat="1" applyFill="1" applyBorder="1" applyAlignment="1">
      <alignment horizontal="left" vertical="top"/>
    </xf>
    <xf numFmtId="22" fontId="0" fillId="0" borderId="3" xfId="0" applyNumberFormat="1" applyFill="1" applyBorder="1" applyAlignment="1">
      <alignment horizontal="left" vertical="top"/>
    </xf>
    <xf numFmtId="22" fontId="0" fillId="0" borderId="4" xfId="0" applyNumberFormat="1" applyFill="1" applyBorder="1" applyAlignment="1">
      <alignment horizontal="left" vertical="top"/>
    </xf>
    <xf numFmtId="22" fontId="0" fillId="0" borderId="5" xfId="0" applyNumberFormat="1" applyFill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164" fontId="0" fillId="0" borderId="2" xfId="0" applyNumberFormat="1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0" fillId="0" borderId="1" xfId="0" quotePrefix="1" applyFill="1" applyBorder="1" applyAlignment="1">
      <alignment horizontal="left" vertical="top"/>
    </xf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 applyAlignment="1">
      <alignment horizontal="left" vertical="top"/>
    </xf>
    <xf numFmtId="14" fontId="0" fillId="0" borderId="1" xfId="0" applyNumberFormat="1" applyFill="1" applyBorder="1" applyAlignment="1">
      <alignment horizontal="left"/>
    </xf>
    <xf numFmtId="0" fontId="0" fillId="0" borderId="1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/>
    </xf>
    <xf numFmtId="0" fontId="0" fillId="0" borderId="5" xfId="0" applyFill="1" applyBorder="1" applyAlignment="1">
      <alignment horizontal="left" vertical="top"/>
    </xf>
    <xf numFmtId="14" fontId="0" fillId="0" borderId="3" xfId="0" applyNumberFormat="1" applyFill="1" applyBorder="1" applyAlignment="1">
      <alignment horizontal="left" vertical="top"/>
    </xf>
    <xf numFmtId="0" fontId="0" fillId="0" borderId="6" xfId="0" applyFill="1" applyBorder="1" applyAlignment="1">
      <alignment horizontal="left" vertical="top"/>
    </xf>
    <xf numFmtId="0" fontId="0" fillId="0" borderId="3" xfId="0" quotePrefix="1" applyFill="1" applyBorder="1" applyAlignment="1">
      <alignment horizontal="left" vertical="top"/>
    </xf>
    <xf numFmtId="14" fontId="0" fillId="0" borderId="4" xfId="0" applyNumberFormat="1" applyFill="1" applyBorder="1" applyAlignment="1">
      <alignment horizontal="left" vertical="top"/>
    </xf>
    <xf numFmtId="0" fontId="0" fillId="0" borderId="4" xfId="0" applyFill="1" applyBorder="1" applyAlignment="1">
      <alignment horizontal="left" vertical="top"/>
    </xf>
    <xf numFmtId="0" fontId="0" fillId="0" borderId="7" xfId="0" applyFill="1" applyBorder="1" applyAlignment="1">
      <alignment horizontal="left" vertical="top"/>
    </xf>
    <xf numFmtId="0" fontId="0" fillId="0" borderId="4" xfId="0" quotePrefix="1" applyFill="1" applyBorder="1" applyAlignment="1">
      <alignment horizontal="left" vertical="top"/>
    </xf>
    <xf numFmtId="0" fontId="0" fillId="0" borderId="1" xfId="0" quotePrefix="1" applyFill="1" applyBorder="1"/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Fill="1" applyBorder="1" applyAlignment="1">
      <alignment horizontal="left"/>
    </xf>
    <xf numFmtId="1" fontId="0" fillId="0" borderId="1" xfId="0" applyNumberFormat="1" applyFill="1" applyBorder="1" applyAlignment="1">
      <alignment horizontal="left" vertical="top"/>
    </xf>
    <xf numFmtId="1" fontId="0" fillId="0" borderId="3" xfId="0" applyNumberFormat="1" applyFill="1" applyBorder="1" applyAlignment="1">
      <alignment horizontal="left" vertical="top"/>
    </xf>
    <xf numFmtId="1" fontId="0" fillId="0" borderId="0" xfId="0" applyNumberFormat="1"/>
    <xf numFmtId="0" fontId="1" fillId="3" borderId="1" xfId="0" applyFont="1" applyFill="1" applyBorder="1" applyAlignment="1">
      <alignment horizontal="left" vertical="top"/>
    </xf>
    <xf numFmtId="1" fontId="1" fillId="3" borderId="1" xfId="0" applyNumberFormat="1" applyFont="1" applyFill="1" applyBorder="1" applyAlignment="1">
      <alignment horizontal="left" vertical="top"/>
    </xf>
    <xf numFmtId="0" fontId="1" fillId="3" borderId="8" xfId="0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0" fillId="3" borderId="2" xfId="0" applyFill="1" applyBorder="1" applyAlignment="1">
      <alignment horizontal="left" vertical="top"/>
    </xf>
    <xf numFmtId="164" fontId="0" fillId="3" borderId="1" xfId="0" applyNumberFormat="1" applyFill="1" applyBorder="1" applyAlignment="1">
      <alignment horizontal="left" vertical="top"/>
    </xf>
    <xf numFmtId="0" fontId="0" fillId="3" borderId="1" xfId="0" quotePrefix="1" applyFill="1" applyBorder="1" applyAlignment="1">
      <alignment horizontal="left" vertical="top"/>
    </xf>
    <xf numFmtId="22" fontId="0" fillId="3" borderId="1" xfId="0" applyNumberFormat="1" applyFill="1" applyBorder="1" applyAlignment="1">
      <alignment horizontal="left" vertical="top"/>
    </xf>
    <xf numFmtId="14" fontId="0" fillId="3" borderId="1" xfId="0" applyNumberForma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4B7D8-E215-45E6-8649-A933461BEA08}">
  <dimension ref="A1:N207"/>
  <sheetViews>
    <sheetView topLeftCell="J1" zoomScale="80" zoomScaleNormal="80" workbookViewId="0">
      <pane ySplit="1" topLeftCell="A2" activePane="bottomLeft" state="frozen"/>
      <selection pane="bottomLeft" activeCell="N2" sqref="N2"/>
    </sheetView>
  </sheetViews>
  <sheetFormatPr baseColWidth="10" defaultColWidth="8.83203125" defaultRowHeight="15" x14ac:dyDescent="0.2"/>
  <cols>
    <col min="1" max="1" width="15.6640625" bestFit="1" customWidth="1"/>
    <col min="2" max="2" width="34.5" bestFit="1" customWidth="1"/>
    <col min="3" max="3" width="58.83203125" bestFit="1" customWidth="1"/>
    <col min="4" max="4" width="16.5" bestFit="1" customWidth="1"/>
    <col min="5" max="5" width="12.33203125" bestFit="1" customWidth="1"/>
    <col min="6" max="6" width="26.5" bestFit="1" customWidth="1"/>
    <col min="7" max="7" width="23" bestFit="1" customWidth="1"/>
    <col min="8" max="8" width="22.1640625" bestFit="1" customWidth="1"/>
    <col min="9" max="9" width="13.5" customWidth="1"/>
    <col min="10" max="10" width="98" bestFit="1" customWidth="1"/>
    <col min="11" max="11" width="27.33203125" bestFit="1" customWidth="1"/>
    <col min="12" max="12" width="20.5" bestFit="1" customWidth="1"/>
    <col min="13" max="13" width="116.5" bestFit="1" customWidth="1"/>
    <col min="14" max="14" width="11.5" bestFit="1" customWidth="1"/>
  </cols>
  <sheetData>
    <row r="1" spans="1:14" ht="16" x14ac:dyDescent="0.2">
      <c r="A1" s="1" t="s">
        <v>0</v>
      </c>
      <c r="B1" s="1" t="s">
        <v>404</v>
      </c>
      <c r="C1" s="1" t="s">
        <v>436</v>
      </c>
      <c r="D1" s="1" t="s">
        <v>435</v>
      </c>
      <c r="E1" s="1" t="s">
        <v>1</v>
      </c>
      <c r="F1" s="1" t="s">
        <v>432</v>
      </c>
      <c r="G1" s="1" t="s">
        <v>413</v>
      </c>
      <c r="H1" s="1" t="s">
        <v>407</v>
      </c>
      <c r="I1" s="1" t="s">
        <v>403</v>
      </c>
      <c r="J1" s="1" t="s">
        <v>409</v>
      </c>
      <c r="K1" s="1" t="s">
        <v>410</v>
      </c>
      <c r="L1" s="1" t="s">
        <v>408</v>
      </c>
      <c r="M1" s="1" t="s">
        <v>2</v>
      </c>
      <c r="N1" s="1" t="s">
        <v>448</v>
      </c>
    </row>
    <row r="2" spans="1:14" x14ac:dyDescent="0.2">
      <c r="A2" s="45">
        <v>44515</v>
      </c>
      <c r="B2" s="40" t="s">
        <v>411</v>
      </c>
      <c r="C2" s="41" t="s">
        <v>441</v>
      </c>
      <c r="D2" s="40" t="s">
        <v>445</v>
      </c>
      <c r="E2" s="42">
        <v>50</v>
      </c>
      <c r="F2" s="42"/>
      <c r="G2" s="40" t="s">
        <v>14</v>
      </c>
      <c r="H2" s="40" t="s">
        <v>4</v>
      </c>
      <c r="I2" s="40" t="s">
        <v>406</v>
      </c>
      <c r="J2" s="40" t="s">
        <v>330</v>
      </c>
      <c r="K2" s="43" t="s">
        <v>15</v>
      </c>
      <c r="L2" s="44">
        <v>44519.854166666664</v>
      </c>
      <c r="M2" s="40" t="s">
        <v>434</v>
      </c>
      <c r="N2" s="40" t="s">
        <v>449</v>
      </c>
    </row>
    <row r="3" spans="1:14" x14ac:dyDescent="0.2">
      <c r="A3" s="7">
        <v>44515</v>
      </c>
      <c r="B3" s="11" t="s">
        <v>411</v>
      </c>
      <c r="C3" s="13" t="s">
        <v>441</v>
      </c>
      <c r="D3" s="11" t="s">
        <v>445</v>
      </c>
      <c r="E3" s="3">
        <v>50</v>
      </c>
      <c r="F3" s="3"/>
      <c r="G3" s="11" t="s">
        <v>16</v>
      </c>
      <c r="H3" s="11" t="s">
        <v>4</v>
      </c>
      <c r="I3" s="11" t="s">
        <v>406</v>
      </c>
      <c r="J3" s="11" t="s">
        <v>330</v>
      </c>
      <c r="K3" s="14" t="s">
        <v>15</v>
      </c>
      <c r="L3" s="6">
        <v>44519.854166666664</v>
      </c>
      <c r="M3" s="11" t="s">
        <v>434</v>
      </c>
      <c r="N3" s="11" t="s">
        <v>449</v>
      </c>
    </row>
    <row r="4" spans="1:14" x14ac:dyDescent="0.2">
      <c r="A4" s="7">
        <v>44515</v>
      </c>
      <c r="B4" s="11" t="s">
        <v>411</v>
      </c>
      <c r="C4" s="13" t="s">
        <v>441</v>
      </c>
      <c r="D4" s="11" t="s">
        <v>445</v>
      </c>
      <c r="E4" s="3">
        <v>50</v>
      </c>
      <c r="F4" s="3"/>
      <c r="G4" s="11" t="s">
        <v>17</v>
      </c>
      <c r="H4" s="11" t="s">
        <v>4</v>
      </c>
      <c r="I4" s="11" t="s">
        <v>406</v>
      </c>
      <c r="J4" s="11" t="s">
        <v>330</v>
      </c>
      <c r="K4" s="14" t="s">
        <v>15</v>
      </c>
      <c r="L4" s="6">
        <v>44519.854166666664</v>
      </c>
      <c r="M4" s="11" t="s">
        <v>434</v>
      </c>
      <c r="N4" s="11" t="s">
        <v>449</v>
      </c>
    </row>
    <row r="5" spans="1:14" x14ac:dyDescent="0.2">
      <c r="A5" s="7">
        <v>44517</v>
      </c>
      <c r="B5" s="11" t="s">
        <v>5</v>
      </c>
      <c r="C5" s="13" t="s">
        <v>451</v>
      </c>
      <c r="D5" s="11" t="s">
        <v>446</v>
      </c>
      <c r="E5" s="3">
        <v>55</v>
      </c>
      <c r="F5" s="3"/>
      <c r="G5" s="11" t="s">
        <v>18</v>
      </c>
      <c r="H5" s="11" t="s">
        <v>6</v>
      </c>
      <c r="I5" s="11" t="s">
        <v>405</v>
      </c>
      <c r="J5" s="11" t="s">
        <v>331</v>
      </c>
      <c r="K5" s="14" t="s">
        <v>19</v>
      </c>
      <c r="L5" s="6">
        <v>44523.291666666664</v>
      </c>
      <c r="M5" s="11"/>
      <c r="N5" s="11" t="s">
        <v>449</v>
      </c>
    </row>
    <row r="6" spans="1:14" x14ac:dyDescent="0.2">
      <c r="A6" s="7">
        <v>44517</v>
      </c>
      <c r="B6" s="11" t="s">
        <v>5</v>
      </c>
      <c r="C6" s="13" t="s">
        <v>451</v>
      </c>
      <c r="D6" s="11" t="s">
        <v>446</v>
      </c>
      <c r="E6" s="3">
        <v>55</v>
      </c>
      <c r="F6" s="3"/>
      <c r="G6" s="11" t="s">
        <v>20</v>
      </c>
      <c r="H6" s="11" t="s">
        <v>6</v>
      </c>
      <c r="I6" s="11" t="s">
        <v>405</v>
      </c>
      <c r="J6" s="11" t="s">
        <v>331</v>
      </c>
      <c r="K6" s="14" t="s">
        <v>19</v>
      </c>
      <c r="L6" s="6">
        <v>44523.291666666664</v>
      </c>
      <c r="M6" s="11"/>
      <c r="N6" s="11" t="s">
        <v>449</v>
      </c>
    </row>
    <row r="7" spans="1:14" x14ac:dyDescent="0.2">
      <c r="A7" s="7">
        <v>44519</v>
      </c>
      <c r="B7" s="11" t="s">
        <v>5</v>
      </c>
      <c r="C7" s="13" t="s">
        <v>451</v>
      </c>
      <c r="D7" s="11" t="s">
        <v>446</v>
      </c>
      <c r="E7" s="3">
        <v>55</v>
      </c>
      <c r="F7" s="3"/>
      <c r="G7" s="11" t="s">
        <v>21</v>
      </c>
      <c r="H7" s="11" t="s">
        <v>6</v>
      </c>
      <c r="I7" s="11" t="s">
        <v>405</v>
      </c>
      <c r="J7" s="11" t="s">
        <v>332</v>
      </c>
      <c r="K7" s="14" t="s">
        <v>19</v>
      </c>
      <c r="L7" s="6">
        <v>44523.395833333336</v>
      </c>
      <c r="M7" s="11" t="s">
        <v>22</v>
      </c>
      <c r="N7" s="11" t="s">
        <v>449</v>
      </c>
    </row>
    <row r="8" spans="1:14" x14ac:dyDescent="0.2">
      <c r="A8" s="7">
        <v>44519</v>
      </c>
      <c r="B8" s="15" t="s">
        <v>23</v>
      </c>
      <c r="C8" s="16" t="s">
        <v>441</v>
      </c>
      <c r="D8" s="11" t="s">
        <v>446</v>
      </c>
      <c r="E8" s="3">
        <v>50</v>
      </c>
      <c r="F8" s="3"/>
      <c r="G8" s="11" t="s">
        <v>24</v>
      </c>
      <c r="H8" s="11" t="s">
        <v>6</v>
      </c>
      <c r="I8" s="11" t="s">
        <v>405</v>
      </c>
      <c r="J8" s="11" t="s">
        <v>333</v>
      </c>
      <c r="K8" s="14" t="s">
        <v>26</v>
      </c>
      <c r="L8" s="6">
        <v>44523.75</v>
      </c>
      <c r="M8" s="11"/>
      <c r="N8" s="11" t="s">
        <v>449</v>
      </c>
    </row>
    <row r="9" spans="1:14" x14ac:dyDescent="0.2">
      <c r="A9" s="7">
        <v>44513</v>
      </c>
      <c r="B9" s="11" t="s">
        <v>31</v>
      </c>
      <c r="C9" s="13" t="s">
        <v>441</v>
      </c>
      <c r="D9" s="11" t="s">
        <v>445</v>
      </c>
      <c r="E9" s="3">
        <v>50</v>
      </c>
      <c r="F9" s="3"/>
      <c r="G9" s="11" t="s">
        <v>32</v>
      </c>
      <c r="H9" s="11" t="s">
        <v>4</v>
      </c>
      <c r="I9" s="11" t="s">
        <v>405</v>
      </c>
      <c r="J9" s="11" t="s">
        <v>335</v>
      </c>
      <c r="K9" s="14" t="s">
        <v>33</v>
      </c>
      <c r="L9" s="6">
        <v>44524.583333333336</v>
      </c>
      <c r="M9" s="11"/>
      <c r="N9" s="11" t="s">
        <v>449</v>
      </c>
    </row>
    <row r="10" spans="1:14" x14ac:dyDescent="0.2">
      <c r="A10" s="7">
        <v>44515</v>
      </c>
      <c r="B10" s="11" t="s">
        <v>31</v>
      </c>
      <c r="C10" s="16" t="s">
        <v>441</v>
      </c>
      <c r="D10" s="11" t="s">
        <v>446</v>
      </c>
      <c r="E10" s="3">
        <v>50</v>
      </c>
      <c r="F10" s="3"/>
      <c r="G10" s="11" t="s">
        <v>34</v>
      </c>
      <c r="H10" s="11" t="s">
        <v>4</v>
      </c>
      <c r="I10" s="11" t="s">
        <v>405</v>
      </c>
      <c r="J10" s="11" t="s">
        <v>335</v>
      </c>
      <c r="K10" s="14" t="s">
        <v>33</v>
      </c>
      <c r="L10" s="6">
        <v>44524.583333333336</v>
      </c>
      <c r="M10" s="11"/>
      <c r="N10" s="11" t="s">
        <v>449</v>
      </c>
    </row>
    <row r="11" spans="1:14" x14ac:dyDescent="0.2">
      <c r="A11" s="7">
        <v>44518</v>
      </c>
      <c r="B11" s="11" t="s">
        <v>27</v>
      </c>
      <c r="C11" s="13" t="s">
        <v>450</v>
      </c>
      <c r="D11" s="11" t="s">
        <v>445</v>
      </c>
      <c r="E11" s="3">
        <v>55</v>
      </c>
      <c r="F11" s="3"/>
      <c r="G11" s="11" t="s">
        <v>28</v>
      </c>
      <c r="H11" s="11" t="s">
        <v>6</v>
      </c>
      <c r="I11" s="11" t="s">
        <v>405</v>
      </c>
      <c r="J11" s="11" t="s">
        <v>334</v>
      </c>
      <c r="K11" s="14" t="s">
        <v>29</v>
      </c>
      <c r="L11" s="6">
        <v>44524.625</v>
      </c>
      <c r="M11" s="11" t="s">
        <v>30</v>
      </c>
      <c r="N11" s="11" t="s">
        <v>449</v>
      </c>
    </row>
    <row r="12" spans="1:14" x14ac:dyDescent="0.2">
      <c r="A12" s="7">
        <v>44518</v>
      </c>
      <c r="B12" s="11" t="s">
        <v>35</v>
      </c>
      <c r="C12" s="16" t="s">
        <v>441</v>
      </c>
      <c r="D12" s="11" t="s">
        <v>446</v>
      </c>
      <c r="E12" s="3">
        <v>50</v>
      </c>
      <c r="F12" s="3"/>
      <c r="G12" s="11" t="s">
        <v>36</v>
      </c>
      <c r="H12" s="11" t="s">
        <v>6</v>
      </c>
      <c r="I12" s="11" t="s">
        <v>405</v>
      </c>
      <c r="J12" s="11" t="s">
        <v>336</v>
      </c>
      <c r="K12" s="14" t="s">
        <v>37</v>
      </c>
      <c r="L12" s="6">
        <v>44524.666666666664</v>
      </c>
      <c r="M12" s="11"/>
      <c r="N12" s="11" t="s">
        <v>449</v>
      </c>
    </row>
    <row r="13" spans="1:14" x14ac:dyDescent="0.2">
      <c r="A13" s="7">
        <v>44518</v>
      </c>
      <c r="B13" s="11" t="s">
        <v>35</v>
      </c>
      <c r="C13" s="16" t="s">
        <v>441</v>
      </c>
      <c r="D13" s="11" t="s">
        <v>446</v>
      </c>
      <c r="E13" s="3">
        <v>50</v>
      </c>
      <c r="F13" s="3"/>
      <c r="G13" s="11" t="s">
        <v>38</v>
      </c>
      <c r="H13" s="11" t="s">
        <v>6</v>
      </c>
      <c r="I13" s="11" t="s">
        <v>405</v>
      </c>
      <c r="J13" s="11" t="s">
        <v>336</v>
      </c>
      <c r="K13" s="14" t="s">
        <v>37</v>
      </c>
      <c r="L13" s="6">
        <v>44524.666666666664</v>
      </c>
      <c r="M13" s="11"/>
      <c r="N13" s="11" t="s">
        <v>449</v>
      </c>
    </row>
    <row r="14" spans="1:14" x14ac:dyDescent="0.2">
      <c r="A14" s="7">
        <v>44516</v>
      </c>
      <c r="B14" s="11" t="s">
        <v>39</v>
      </c>
      <c r="C14" s="16" t="s">
        <v>441</v>
      </c>
      <c r="D14" s="11" t="s">
        <v>446</v>
      </c>
      <c r="E14" s="3">
        <v>50</v>
      </c>
      <c r="F14" s="3"/>
      <c r="G14" s="11" t="s">
        <v>40</v>
      </c>
      <c r="H14" s="11" t="s">
        <v>4</v>
      </c>
      <c r="I14" s="11" t="s">
        <v>405</v>
      </c>
      <c r="J14" s="11" t="s">
        <v>337</v>
      </c>
      <c r="K14" s="14" t="s">
        <v>41</v>
      </c>
      <c r="L14" s="6">
        <v>44525.791666666664</v>
      </c>
      <c r="M14" s="11"/>
      <c r="N14" s="11" t="s">
        <v>449</v>
      </c>
    </row>
    <row r="15" spans="1:14" x14ac:dyDescent="0.2">
      <c r="A15" s="7">
        <v>44516</v>
      </c>
      <c r="B15" s="11" t="s">
        <v>39</v>
      </c>
      <c r="C15" s="16" t="s">
        <v>441</v>
      </c>
      <c r="D15" s="11" t="s">
        <v>446</v>
      </c>
      <c r="E15" s="3">
        <v>50</v>
      </c>
      <c r="F15" s="3"/>
      <c r="G15" s="11" t="s">
        <v>42</v>
      </c>
      <c r="H15" s="11" t="s">
        <v>4</v>
      </c>
      <c r="I15" s="11" t="s">
        <v>405</v>
      </c>
      <c r="J15" s="11" t="s">
        <v>337</v>
      </c>
      <c r="K15" s="14" t="s">
        <v>41</v>
      </c>
      <c r="L15" s="6">
        <v>44525.791666666664</v>
      </c>
      <c r="M15" s="11"/>
      <c r="N15" s="11" t="s">
        <v>449</v>
      </c>
    </row>
    <row r="16" spans="1:14" x14ac:dyDescent="0.2">
      <c r="A16" s="7">
        <v>44516</v>
      </c>
      <c r="B16" s="11" t="s">
        <v>39</v>
      </c>
      <c r="C16" s="16" t="s">
        <v>441</v>
      </c>
      <c r="D16" s="11" t="s">
        <v>446</v>
      </c>
      <c r="E16" s="3">
        <v>50</v>
      </c>
      <c r="F16" s="3"/>
      <c r="G16" s="11" t="s">
        <v>43</v>
      </c>
      <c r="H16" s="11" t="s">
        <v>4</v>
      </c>
      <c r="I16" s="11" t="s">
        <v>405</v>
      </c>
      <c r="J16" s="11" t="s">
        <v>337</v>
      </c>
      <c r="K16" s="14" t="s">
        <v>41</v>
      </c>
      <c r="L16" s="6">
        <v>44525.791666666664</v>
      </c>
      <c r="M16" s="11"/>
      <c r="N16" s="11" t="s">
        <v>449</v>
      </c>
    </row>
    <row r="17" spans="1:14" x14ac:dyDescent="0.2">
      <c r="A17" s="7">
        <v>44516</v>
      </c>
      <c r="B17" s="11" t="s">
        <v>39</v>
      </c>
      <c r="C17" s="16" t="s">
        <v>441</v>
      </c>
      <c r="D17" s="11" t="s">
        <v>446</v>
      </c>
      <c r="E17" s="3">
        <v>50</v>
      </c>
      <c r="F17" s="3"/>
      <c r="G17" s="11" t="s">
        <v>44</v>
      </c>
      <c r="H17" s="11" t="s">
        <v>4</v>
      </c>
      <c r="I17" s="11" t="s">
        <v>405</v>
      </c>
      <c r="J17" s="11" t="s">
        <v>337</v>
      </c>
      <c r="K17" s="14" t="s">
        <v>41</v>
      </c>
      <c r="L17" s="6">
        <v>44525.791666666664</v>
      </c>
      <c r="M17" s="11"/>
      <c r="N17" s="11" t="s">
        <v>449</v>
      </c>
    </row>
    <row r="18" spans="1:14" x14ac:dyDescent="0.2">
      <c r="A18" s="7">
        <v>44516</v>
      </c>
      <c r="B18" s="11" t="s">
        <v>39</v>
      </c>
      <c r="C18" s="16" t="s">
        <v>441</v>
      </c>
      <c r="D18" s="11" t="s">
        <v>446</v>
      </c>
      <c r="E18" s="3">
        <v>50</v>
      </c>
      <c r="F18" s="3"/>
      <c r="G18" s="11" t="s">
        <v>45</v>
      </c>
      <c r="H18" s="11" t="s">
        <v>4</v>
      </c>
      <c r="I18" s="11" t="s">
        <v>405</v>
      </c>
      <c r="J18" s="11" t="s">
        <v>337</v>
      </c>
      <c r="K18" s="14" t="s">
        <v>41</v>
      </c>
      <c r="L18" s="6">
        <v>44525.791666666664</v>
      </c>
      <c r="M18" s="11"/>
      <c r="N18" s="11" t="s">
        <v>449</v>
      </c>
    </row>
    <row r="19" spans="1:14" x14ac:dyDescent="0.2">
      <c r="A19" s="7">
        <v>44516</v>
      </c>
      <c r="B19" s="11" t="s">
        <v>12</v>
      </c>
      <c r="C19" s="16" t="s">
        <v>441</v>
      </c>
      <c r="D19" s="11" t="s">
        <v>446</v>
      </c>
      <c r="E19" s="3">
        <v>50</v>
      </c>
      <c r="F19" s="3"/>
      <c r="G19" s="11" t="s">
        <v>58</v>
      </c>
      <c r="H19" s="11" t="s">
        <v>6</v>
      </c>
      <c r="I19" s="11" t="s">
        <v>405</v>
      </c>
      <c r="J19" s="11" t="s">
        <v>340</v>
      </c>
      <c r="K19" s="14" t="s">
        <v>13</v>
      </c>
      <c r="L19" s="6">
        <v>44527.791666666664</v>
      </c>
      <c r="M19" s="11"/>
      <c r="N19" s="11" t="s">
        <v>449</v>
      </c>
    </row>
    <row r="20" spans="1:14" x14ac:dyDescent="0.2">
      <c r="A20" s="7">
        <v>44516</v>
      </c>
      <c r="B20" s="11" t="s">
        <v>12</v>
      </c>
      <c r="C20" s="16" t="s">
        <v>441</v>
      </c>
      <c r="D20" s="11" t="s">
        <v>446</v>
      </c>
      <c r="E20" s="3">
        <v>50</v>
      </c>
      <c r="F20" s="3"/>
      <c r="G20" s="11" t="s">
        <v>59</v>
      </c>
      <c r="H20" s="11" t="s">
        <v>6</v>
      </c>
      <c r="I20" s="11" t="s">
        <v>405</v>
      </c>
      <c r="J20" s="11" t="s">
        <v>340</v>
      </c>
      <c r="K20" s="14" t="s">
        <v>13</v>
      </c>
      <c r="L20" s="6">
        <v>44527.791666666664</v>
      </c>
      <c r="M20" s="11"/>
      <c r="N20" s="11" t="s">
        <v>449</v>
      </c>
    </row>
    <row r="21" spans="1:14" x14ac:dyDescent="0.2">
      <c r="A21" s="7">
        <v>44515</v>
      </c>
      <c r="B21" s="11" t="s">
        <v>67</v>
      </c>
      <c r="C21" s="13" t="s">
        <v>441</v>
      </c>
      <c r="D21" s="11" t="s">
        <v>446</v>
      </c>
      <c r="E21" s="3">
        <v>50</v>
      </c>
      <c r="F21" s="3"/>
      <c r="G21" s="11" t="s">
        <v>68</v>
      </c>
      <c r="H21" s="11" t="s">
        <v>6</v>
      </c>
      <c r="I21" s="11" t="s">
        <v>405</v>
      </c>
      <c r="J21" s="11" t="s">
        <v>343</v>
      </c>
      <c r="K21" s="14" t="s">
        <v>69</v>
      </c>
      <c r="L21" s="6">
        <v>44528.375</v>
      </c>
      <c r="M21" s="11"/>
      <c r="N21" s="11" t="s">
        <v>449</v>
      </c>
    </row>
    <row r="22" spans="1:14" x14ac:dyDescent="0.2">
      <c r="A22" s="7">
        <v>44515</v>
      </c>
      <c r="B22" s="11" t="s">
        <v>67</v>
      </c>
      <c r="C22" s="13" t="s">
        <v>441</v>
      </c>
      <c r="D22" s="11" t="s">
        <v>446</v>
      </c>
      <c r="E22" s="3">
        <v>50</v>
      </c>
      <c r="F22" s="3"/>
      <c r="G22" s="11" t="s">
        <v>70</v>
      </c>
      <c r="H22" s="11" t="s">
        <v>6</v>
      </c>
      <c r="I22" s="11" t="s">
        <v>405</v>
      </c>
      <c r="J22" s="11" t="s">
        <v>343</v>
      </c>
      <c r="K22" s="14" t="s">
        <v>69</v>
      </c>
      <c r="L22" s="6">
        <v>44528.375</v>
      </c>
      <c r="M22" s="11"/>
      <c r="N22" s="11" t="s">
        <v>449</v>
      </c>
    </row>
    <row r="23" spans="1:14" x14ac:dyDescent="0.2">
      <c r="A23" s="7">
        <v>44515</v>
      </c>
      <c r="B23" s="11" t="s">
        <v>67</v>
      </c>
      <c r="C23" s="13" t="s">
        <v>441</v>
      </c>
      <c r="D23" s="11" t="s">
        <v>446</v>
      </c>
      <c r="E23" s="3">
        <v>50</v>
      </c>
      <c r="F23" s="3"/>
      <c r="G23" s="11" t="s">
        <v>71</v>
      </c>
      <c r="H23" s="11" t="s">
        <v>6</v>
      </c>
      <c r="I23" s="11" t="s">
        <v>405</v>
      </c>
      <c r="J23" s="11" t="s">
        <v>343</v>
      </c>
      <c r="K23" s="14" t="s">
        <v>69</v>
      </c>
      <c r="L23" s="6">
        <v>44528.375</v>
      </c>
      <c r="M23" s="11"/>
      <c r="N23" s="11" t="s">
        <v>449</v>
      </c>
    </row>
    <row r="24" spans="1:14" s="2" customFormat="1" x14ac:dyDescent="0.2">
      <c r="A24" s="7">
        <v>44515</v>
      </c>
      <c r="B24" s="11" t="s">
        <v>67</v>
      </c>
      <c r="C24" s="13" t="s">
        <v>441</v>
      </c>
      <c r="D24" s="11" t="s">
        <v>446</v>
      </c>
      <c r="E24" s="3">
        <v>50</v>
      </c>
      <c r="F24" s="3"/>
      <c r="G24" s="11" t="s">
        <v>72</v>
      </c>
      <c r="H24" s="11" t="s">
        <v>6</v>
      </c>
      <c r="I24" s="11" t="s">
        <v>405</v>
      </c>
      <c r="J24" s="11" t="s">
        <v>343</v>
      </c>
      <c r="K24" s="14" t="s">
        <v>69</v>
      </c>
      <c r="L24" s="6">
        <v>44528.375</v>
      </c>
      <c r="M24" s="11"/>
      <c r="N24" s="11" t="s">
        <v>449</v>
      </c>
    </row>
    <row r="25" spans="1:14" s="2" customFormat="1" x14ac:dyDescent="0.2">
      <c r="A25" s="7">
        <v>44515</v>
      </c>
      <c r="B25" s="11" t="s">
        <v>67</v>
      </c>
      <c r="C25" s="13" t="s">
        <v>441</v>
      </c>
      <c r="D25" s="11" t="s">
        <v>446</v>
      </c>
      <c r="E25" s="3">
        <v>50</v>
      </c>
      <c r="F25" s="3"/>
      <c r="G25" s="11" t="s">
        <v>73</v>
      </c>
      <c r="H25" s="11" t="s">
        <v>6</v>
      </c>
      <c r="I25" s="11" t="s">
        <v>405</v>
      </c>
      <c r="J25" s="11" t="s">
        <v>343</v>
      </c>
      <c r="K25" s="14" t="s">
        <v>69</v>
      </c>
      <c r="L25" s="6">
        <v>44528.375</v>
      </c>
      <c r="M25" s="11"/>
      <c r="N25" s="11" t="s">
        <v>449</v>
      </c>
    </row>
    <row r="26" spans="1:14" s="2" customFormat="1" x14ac:dyDescent="0.2">
      <c r="A26" s="7">
        <v>44519</v>
      </c>
      <c r="B26" s="11" t="s">
        <v>64</v>
      </c>
      <c r="C26" s="16" t="s">
        <v>441</v>
      </c>
      <c r="D26" s="11" t="s">
        <v>446</v>
      </c>
      <c r="E26" s="3">
        <v>50</v>
      </c>
      <c r="F26" s="3"/>
      <c r="G26" s="11" t="s">
        <v>65</v>
      </c>
      <c r="H26" s="11" t="s">
        <v>4</v>
      </c>
      <c r="I26" s="11" t="s">
        <v>406</v>
      </c>
      <c r="J26" s="11" t="s">
        <v>342</v>
      </c>
      <c r="K26" s="14" t="s">
        <v>66</v>
      </c>
      <c r="L26" s="6">
        <v>44528.5625</v>
      </c>
      <c r="M26" s="11"/>
      <c r="N26" s="11" t="s">
        <v>449</v>
      </c>
    </row>
    <row r="27" spans="1:14" x14ac:dyDescent="0.2">
      <c r="A27" s="7">
        <v>44518</v>
      </c>
      <c r="B27" s="11" t="s">
        <v>52</v>
      </c>
      <c r="C27" s="13" t="s">
        <v>457</v>
      </c>
      <c r="D27" s="11" t="s">
        <v>445</v>
      </c>
      <c r="E27" s="3">
        <v>50</v>
      </c>
      <c r="F27" s="3"/>
      <c r="G27" s="11" t="s">
        <v>53</v>
      </c>
      <c r="H27" s="11" t="s">
        <v>6</v>
      </c>
      <c r="I27" s="11" t="s">
        <v>405</v>
      </c>
      <c r="J27" s="11" t="s">
        <v>339</v>
      </c>
      <c r="K27" s="14" t="s">
        <v>54</v>
      </c>
      <c r="L27" s="6">
        <v>44528.583333333336</v>
      </c>
      <c r="M27" s="11" t="s">
        <v>55</v>
      </c>
      <c r="N27" s="11" t="s">
        <v>449</v>
      </c>
    </row>
    <row r="28" spans="1:14" x14ac:dyDescent="0.2">
      <c r="A28" s="7">
        <v>44518</v>
      </c>
      <c r="B28" s="11" t="s">
        <v>52</v>
      </c>
      <c r="C28" s="13" t="s">
        <v>457</v>
      </c>
      <c r="D28" s="11" t="s">
        <v>445</v>
      </c>
      <c r="E28" s="3">
        <v>50</v>
      </c>
      <c r="F28" s="3"/>
      <c r="G28" s="11" t="s">
        <v>56</v>
      </c>
      <c r="H28" s="11" t="s">
        <v>6</v>
      </c>
      <c r="I28" s="11" t="s">
        <v>405</v>
      </c>
      <c r="J28" s="11" t="s">
        <v>339</v>
      </c>
      <c r="K28" s="14" t="s">
        <v>54</v>
      </c>
      <c r="L28" s="6">
        <v>44528.583333333336</v>
      </c>
      <c r="M28" s="11" t="s">
        <v>57</v>
      </c>
      <c r="N28" s="11" t="s">
        <v>449</v>
      </c>
    </row>
    <row r="29" spans="1:14" x14ac:dyDescent="0.2">
      <c r="A29" s="7">
        <v>44519</v>
      </c>
      <c r="B29" s="11" t="s">
        <v>60</v>
      </c>
      <c r="C29" s="13" t="s">
        <v>442</v>
      </c>
      <c r="D29" s="11" t="s">
        <v>445</v>
      </c>
      <c r="E29" s="3">
        <v>0</v>
      </c>
      <c r="F29" s="3"/>
      <c r="G29" s="11" t="s">
        <v>61</v>
      </c>
      <c r="H29" s="11" t="s">
        <v>4</v>
      </c>
      <c r="I29" s="11" t="s">
        <v>406</v>
      </c>
      <c r="J29" s="11" t="s">
        <v>341</v>
      </c>
      <c r="K29" s="14" t="s">
        <v>62</v>
      </c>
      <c r="L29" s="6">
        <v>44528.614583333336</v>
      </c>
      <c r="M29" s="11" t="s">
        <v>63</v>
      </c>
      <c r="N29" s="11" t="s">
        <v>449</v>
      </c>
    </row>
    <row r="30" spans="1:14" s="2" customFormat="1" x14ac:dyDescent="0.2">
      <c r="A30" s="7">
        <v>44517</v>
      </c>
      <c r="B30" s="11" t="s">
        <v>46</v>
      </c>
      <c r="C30" s="13" t="s">
        <v>441</v>
      </c>
      <c r="D30" s="11" t="s">
        <v>445</v>
      </c>
      <c r="E30" s="3">
        <v>50</v>
      </c>
      <c r="F30" s="3"/>
      <c r="G30" s="11" t="s">
        <v>47</v>
      </c>
      <c r="H30" s="11" t="s">
        <v>4</v>
      </c>
      <c r="I30" s="11" t="s">
        <v>406</v>
      </c>
      <c r="J30" s="11" t="s">
        <v>338</v>
      </c>
      <c r="K30" s="14" t="s">
        <v>48</v>
      </c>
      <c r="L30" s="6">
        <v>44528.666666666664</v>
      </c>
      <c r="M30" s="11" t="s">
        <v>434</v>
      </c>
      <c r="N30" s="11" t="s">
        <v>449</v>
      </c>
    </row>
    <row r="31" spans="1:14" s="2" customFormat="1" x14ac:dyDescent="0.2">
      <c r="A31" s="7">
        <v>44517</v>
      </c>
      <c r="B31" s="11" t="s">
        <v>46</v>
      </c>
      <c r="C31" s="13" t="s">
        <v>441</v>
      </c>
      <c r="D31" s="11" t="s">
        <v>445</v>
      </c>
      <c r="E31" s="3">
        <v>50</v>
      </c>
      <c r="F31" s="3"/>
      <c r="G31" s="11" t="s">
        <v>49</v>
      </c>
      <c r="H31" s="11" t="s">
        <v>4</v>
      </c>
      <c r="I31" s="11" t="s">
        <v>406</v>
      </c>
      <c r="J31" s="11" t="s">
        <v>338</v>
      </c>
      <c r="K31" s="14" t="s">
        <v>48</v>
      </c>
      <c r="L31" s="6">
        <v>44528.666666666664</v>
      </c>
      <c r="M31" s="11" t="s">
        <v>434</v>
      </c>
      <c r="N31" s="11" t="s">
        <v>449</v>
      </c>
    </row>
    <row r="32" spans="1:14" x14ac:dyDescent="0.2">
      <c r="A32" s="7">
        <v>44517</v>
      </c>
      <c r="B32" s="11" t="s">
        <v>46</v>
      </c>
      <c r="C32" s="13" t="s">
        <v>441</v>
      </c>
      <c r="D32" s="11" t="s">
        <v>445</v>
      </c>
      <c r="E32" s="3">
        <v>50</v>
      </c>
      <c r="F32" s="3"/>
      <c r="G32" s="11" t="s">
        <v>50</v>
      </c>
      <c r="H32" s="11" t="s">
        <v>4</v>
      </c>
      <c r="I32" s="11" t="s">
        <v>406</v>
      </c>
      <c r="J32" s="11" t="s">
        <v>338</v>
      </c>
      <c r="K32" s="14" t="s">
        <v>48</v>
      </c>
      <c r="L32" s="6">
        <v>44528.666666666664</v>
      </c>
      <c r="M32" s="11" t="s">
        <v>434</v>
      </c>
      <c r="N32" s="11" t="s">
        <v>449</v>
      </c>
    </row>
    <row r="33" spans="1:14" x14ac:dyDescent="0.2">
      <c r="A33" s="7">
        <v>44517</v>
      </c>
      <c r="B33" s="11" t="s">
        <v>46</v>
      </c>
      <c r="C33" s="13" t="s">
        <v>441</v>
      </c>
      <c r="D33" s="11" t="s">
        <v>445</v>
      </c>
      <c r="E33" s="3">
        <v>50</v>
      </c>
      <c r="F33" s="3"/>
      <c r="G33" s="11" t="s">
        <v>51</v>
      </c>
      <c r="H33" s="11" t="s">
        <v>4</v>
      </c>
      <c r="I33" s="11" t="s">
        <v>406</v>
      </c>
      <c r="J33" s="11" t="s">
        <v>338</v>
      </c>
      <c r="K33" s="14" t="s">
        <v>48</v>
      </c>
      <c r="L33" s="6">
        <v>44528.666666666664</v>
      </c>
      <c r="M33" s="11" t="s">
        <v>434</v>
      </c>
      <c r="N33" s="11" t="s">
        <v>449</v>
      </c>
    </row>
    <row r="34" spans="1:14" x14ac:dyDescent="0.2">
      <c r="A34" s="7">
        <v>44522</v>
      </c>
      <c r="B34" s="11" t="s">
        <v>74</v>
      </c>
      <c r="C34" s="13" t="s">
        <v>441</v>
      </c>
      <c r="D34" s="11" t="s">
        <v>445</v>
      </c>
      <c r="E34" s="3">
        <v>50</v>
      </c>
      <c r="F34" s="3"/>
      <c r="G34" s="11" t="s">
        <v>75</v>
      </c>
      <c r="H34" s="17" t="s">
        <v>4</v>
      </c>
      <c r="I34" s="11" t="s">
        <v>405</v>
      </c>
      <c r="J34" s="11" t="s">
        <v>344</v>
      </c>
      <c r="K34" s="14" t="s">
        <v>76</v>
      </c>
      <c r="L34" s="6">
        <v>44529.75</v>
      </c>
      <c r="M34" s="11"/>
      <c r="N34" s="11" t="s">
        <v>449</v>
      </c>
    </row>
    <row r="35" spans="1:14" x14ac:dyDescent="0.2">
      <c r="A35" s="7">
        <v>44522</v>
      </c>
      <c r="B35" s="11" t="s">
        <v>74</v>
      </c>
      <c r="C35" s="13" t="s">
        <v>441</v>
      </c>
      <c r="D35" s="11" t="s">
        <v>445</v>
      </c>
      <c r="E35" s="3">
        <v>50</v>
      </c>
      <c r="F35" s="3"/>
      <c r="G35" s="11" t="s">
        <v>77</v>
      </c>
      <c r="H35" s="17" t="s">
        <v>4</v>
      </c>
      <c r="I35" s="11" t="s">
        <v>405</v>
      </c>
      <c r="J35" s="11" t="s">
        <v>344</v>
      </c>
      <c r="K35" s="14" t="s">
        <v>76</v>
      </c>
      <c r="L35" s="6">
        <v>44529.75</v>
      </c>
      <c r="M35" s="11" t="s">
        <v>78</v>
      </c>
      <c r="N35" s="11" t="s">
        <v>449</v>
      </c>
    </row>
    <row r="36" spans="1:14" x14ac:dyDescent="0.2">
      <c r="A36" s="7">
        <v>44522</v>
      </c>
      <c r="B36" s="11" t="s">
        <v>74</v>
      </c>
      <c r="C36" s="13" t="s">
        <v>441</v>
      </c>
      <c r="D36" s="11" t="s">
        <v>445</v>
      </c>
      <c r="E36" s="3">
        <v>50</v>
      </c>
      <c r="F36" s="3"/>
      <c r="G36" s="11" t="s">
        <v>79</v>
      </c>
      <c r="H36" s="17" t="s">
        <v>4</v>
      </c>
      <c r="I36" s="11" t="s">
        <v>405</v>
      </c>
      <c r="J36" s="11" t="s">
        <v>344</v>
      </c>
      <c r="K36" s="14" t="s">
        <v>76</v>
      </c>
      <c r="L36" s="6">
        <v>44529.75</v>
      </c>
      <c r="M36" s="11"/>
      <c r="N36" s="11" t="s">
        <v>449</v>
      </c>
    </row>
    <row r="37" spans="1:14" x14ac:dyDescent="0.2">
      <c r="A37" s="7">
        <v>44522</v>
      </c>
      <c r="B37" s="11" t="s">
        <v>74</v>
      </c>
      <c r="C37" s="16" t="s">
        <v>441</v>
      </c>
      <c r="D37" s="11" t="s">
        <v>446</v>
      </c>
      <c r="E37" s="3">
        <v>50</v>
      </c>
      <c r="F37" s="3"/>
      <c r="G37" s="11" t="s">
        <v>80</v>
      </c>
      <c r="H37" s="11" t="s">
        <v>4</v>
      </c>
      <c r="I37" s="11" t="s">
        <v>404</v>
      </c>
      <c r="J37" s="11" t="s">
        <v>344</v>
      </c>
      <c r="K37" s="14" t="s">
        <v>76</v>
      </c>
      <c r="L37" s="6">
        <v>44529.75</v>
      </c>
      <c r="M37" s="11"/>
      <c r="N37" s="11" t="s">
        <v>449</v>
      </c>
    </row>
    <row r="38" spans="1:14" x14ac:dyDescent="0.2">
      <c r="A38" s="7">
        <v>44524</v>
      </c>
      <c r="B38" s="11" t="s">
        <v>5</v>
      </c>
      <c r="C38" s="13" t="s">
        <v>451</v>
      </c>
      <c r="D38" s="11" t="s">
        <v>447</v>
      </c>
      <c r="E38" s="3">
        <v>30</v>
      </c>
      <c r="F38" s="3" t="s">
        <v>431</v>
      </c>
      <c r="G38" s="11"/>
      <c r="H38" s="11" t="s">
        <v>6</v>
      </c>
      <c r="I38" s="11" t="s">
        <v>406</v>
      </c>
      <c r="J38" s="11" t="s">
        <v>345</v>
      </c>
      <c r="K38" s="14" t="s">
        <v>81</v>
      </c>
      <c r="L38" s="6">
        <v>44530.708333333336</v>
      </c>
      <c r="M38" s="11"/>
      <c r="N38" s="11" t="s">
        <v>449</v>
      </c>
    </row>
    <row r="39" spans="1:14" x14ac:dyDescent="0.2">
      <c r="A39" s="7">
        <v>44524</v>
      </c>
      <c r="B39" s="11" t="s">
        <v>5</v>
      </c>
      <c r="C39" s="13" t="s">
        <v>451</v>
      </c>
      <c r="D39" s="11" t="s">
        <v>446</v>
      </c>
      <c r="E39" s="3">
        <v>55</v>
      </c>
      <c r="F39" s="3"/>
      <c r="G39" s="11" t="s">
        <v>430</v>
      </c>
      <c r="H39" s="11" t="s">
        <v>6</v>
      </c>
      <c r="I39" s="11" t="s">
        <v>406</v>
      </c>
      <c r="J39" s="11" t="s">
        <v>345</v>
      </c>
      <c r="K39" s="14" t="s">
        <v>81</v>
      </c>
      <c r="L39" s="6">
        <v>44530.708333333336</v>
      </c>
      <c r="M39" s="11"/>
      <c r="N39" s="11" t="s">
        <v>449</v>
      </c>
    </row>
    <row r="40" spans="1:14" x14ac:dyDescent="0.2">
      <c r="A40" s="7">
        <v>44523</v>
      </c>
      <c r="B40" s="11" t="s">
        <v>82</v>
      </c>
      <c r="C40" s="13" t="s">
        <v>451</v>
      </c>
      <c r="D40" s="11" t="s">
        <v>446</v>
      </c>
      <c r="E40" s="3">
        <v>55</v>
      </c>
      <c r="F40" s="3"/>
      <c r="G40" s="11" t="s">
        <v>83</v>
      </c>
      <c r="H40" s="11" t="s">
        <v>6</v>
      </c>
      <c r="I40" s="11" t="s">
        <v>404</v>
      </c>
      <c r="J40" s="11" t="s">
        <v>346</v>
      </c>
      <c r="K40" s="14" t="s">
        <v>84</v>
      </c>
      <c r="L40" s="6">
        <v>44531.291666666664</v>
      </c>
      <c r="M40" s="11"/>
      <c r="N40" s="11" t="s">
        <v>449</v>
      </c>
    </row>
    <row r="41" spans="1:14" x14ac:dyDescent="0.2">
      <c r="A41" s="7">
        <v>44516</v>
      </c>
      <c r="B41" s="11" t="s">
        <v>85</v>
      </c>
      <c r="C41" s="13" t="s">
        <v>450</v>
      </c>
      <c r="D41" s="11" t="s">
        <v>445</v>
      </c>
      <c r="E41" s="3">
        <v>55</v>
      </c>
      <c r="F41" s="3"/>
      <c r="G41" s="11" t="s">
        <v>86</v>
      </c>
      <c r="H41" s="11" t="s">
        <v>6</v>
      </c>
      <c r="I41" s="11" t="s">
        <v>405</v>
      </c>
      <c r="J41" s="11" t="s">
        <v>347</v>
      </c>
      <c r="K41" s="14" t="s">
        <v>87</v>
      </c>
      <c r="L41" s="6">
        <v>44531.416666666664</v>
      </c>
      <c r="M41" s="11" t="s">
        <v>88</v>
      </c>
      <c r="N41" s="11" t="s">
        <v>449</v>
      </c>
    </row>
    <row r="42" spans="1:14" x14ac:dyDescent="0.2">
      <c r="A42" s="7">
        <v>44523</v>
      </c>
      <c r="B42" s="15" t="s">
        <v>90</v>
      </c>
      <c r="C42" s="16" t="s">
        <v>441</v>
      </c>
      <c r="D42" s="11" t="s">
        <v>446</v>
      </c>
      <c r="E42" s="3">
        <v>50</v>
      </c>
      <c r="F42" s="3"/>
      <c r="G42" s="11" t="s">
        <v>91</v>
      </c>
      <c r="H42" s="11" t="s">
        <v>6</v>
      </c>
      <c r="I42" s="11" t="s">
        <v>405</v>
      </c>
      <c r="J42" s="11" t="s">
        <v>348</v>
      </c>
      <c r="K42" s="14" t="s">
        <v>92</v>
      </c>
      <c r="L42" s="6">
        <v>44531.708333333336</v>
      </c>
      <c r="M42" s="11"/>
      <c r="N42" s="11" t="s">
        <v>449</v>
      </c>
    </row>
    <row r="43" spans="1:14" s="2" customFormat="1" x14ac:dyDescent="0.2">
      <c r="A43" s="7">
        <v>44523</v>
      </c>
      <c r="B43" s="15" t="s">
        <v>90</v>
      </c>
      <c r="C43" s="16" t="s">
        <v>441</v>
      </c>
      <c r="D43" s="11" t="s">
        <v>446</v>
      </c>
      <c r="E43" s="3">
        <v>50</v>
      </c>
      <c r="F43" s="3"/>
      <c r="G43" s="11" t="s">
        <v>93</v>
      </c>
      <c r="H43" s="11" t="s">
        <v>6</v>
      </c>
      <c r="I43" s="11" t="s">
        <v>405</v>
      </c>
      <c r="J43" s="11" t="s">
        <v>348</v>
      </c>
      <c r="K43" s="14" t="s">
        <v>92</v>
      </c>
      <c r="L43" s="6">
        <v>44531.708333333336</v>
      </c>
      <c r="M43" s="11"/>
      <c r="N43" s="11" t="s">
        <v>449</v>
      </c>
    </row>
    <row r="44" spans="1:14" x14ac:dyDescent="0.2">
      <c r="A44" s="7">
        <v>44523</v>
      </c>
      <c r="B44" s="15" t="s">
        <v>90</v>
      </c>
      <c r="C44" s="16" t="s">
        <v>441</v>
      </c>
      <c r="D44" s="11" t="s">
        <v>446</v>
      </c>
      <c r="E44" s="3">
        <v>50</v>
      </c>
      <c r="F44" s="3"/>
      <c r="G44" s="11" t="s">
        <v>94</v>
      </c>
      <c r="H44" s="11" t="s">
        <v>6</v>
      </c>
      <c r="I44" s="11" t="s">
        <v>405</v>
      </c>
      <c r="J44" s="11" t="s">
        <v>348</v>
      </c>
      <c r="K44" s="14" t="s">
        <v>92</v>
      </c>
      <c r="L44" s="6">
        <v>44531.708333333336</v>
      </c>
      <c r="M44" s="11"/>
      <c r="N44" s="11" t="s">
        <v>449</v>
      </c>
    </row>
    <row r="45" spans="1:14" x14ac:dyDescent="0.2">
      <c r="A45" s="7">
        <v>44516</v>
      </c>
      <c r="B45" s="11" t="s">
        <v>39</v>
      </c>
      <c r="C45" s="13" t="s">
        <v>441</v>
      </c>
      <c r="D45" s="11" t="s">
        <v>445</v>
      </c>
      <c r="E45" s="3">
        <v>50</v>
      </c>
      <c r="F45" s="3"/>
      <c r="G45" s="11" t="s">
        <v>43</v>
      </c>
      <c r="H45" s="11" t="s">
        <v>4</v>
      </c>
      <c r="I45" s="11" t="s">
        <v>406</v>
      </c>
      <c r="J45" s="11" t="s">
        <v>337</v>
      </c>
      <c r="K45" s="14" t="s">
        <v>41</v>
      </c>
      <c r="L45" s="6">
        <v>44531.729166666664</v>
      </c>
      <c r="M45" s="11" t="s">
        <v>89</v>
      </c>
      <c r="N45" s="11" t="s">
        <v>449</v>
      </c>
    </row>
    <row r="46" spans="1:14" s="2" customFormat="1" x14ac:dyDescent="0.2">
      <c r="A46" s="7">
        <v>44516</v>
      </c>
      <c r="B46" s="11" t="s">
        <v>39</v>
      </c>
      <c r="C46" s="13" t="s">
        <v>441</v>
      </c>
      <c r="D46" s="11" t="s">
        <v>445</v>
      </c>
      <c r="E46" s="3">
        <v>50</v>
      </c>
      <c r="F46" s="3"/>
      <c r="G46" s="11" t="s">
        <v>44</v>
      </c>
      <c r="H46" s="11" t="s">
        <v>4</v>
      </c>
      <c r="I46" s="11" t="s">
        <v>406</v>
      </c>
      <c r="J46" s="11" t="s">
        <v>337</v>
      </c>
      <c r="K46" s="14" t="s">
        <v>41</v>
      </c>
      <c r="L46" s="6">
        <v>44531.729166666664</v>
      </c>
      <c r="M46" s="11" t="s">
        <v>89</v>
      </c>
      <c r="N46" s="11" t="s">
        <v>449</v>
      </c>
    </row>
    <row r="47" spans="1:14" x14ac:dyDescent="0.2">
      <c r="A47" s="7">
        <v>44516</v>
      </c>
      <c r="B47" s="11" t="s">
        <v>39</v>
      </c>
      <c r="C47" s="13" t="s">
        <v>441</v>
      </c>
      <c r="D47" s="11" t="s">
        <v>445</v>
      </c>
      <c r="E47" s="3">
        <v>50</v>
      </c>
      <c r="F47" s="3"/>
      <c r="G47" s="11" t="s">
        <v>40</v>
      </c>
      <c r="H47" s="11" t="s">
        <v>4</v>
      </c>
      <c r="I47" s="11" t="s">
        <v>406</v>
      </c>
      <c r="J47" s="11" t="s">
        <v>337</v>
      </c>
      <c r="K47" s="14" t="s">
        <v>41</v>
      </c>
      <c r="L47" s="6">
        <v>44531.729166666664</v>
      </c>
      <c r="M47" s="11" t="s">
        <v>89</v>
      </c>
      <c r="N47" s="11" t="s">
        <v>449</v>
      </c>
    </row>
    <row r="48" spans="1:14" x14ac:dyDescent="0.2">
      <c r="A48" s="7">
        <v>44523</v>
      </c>
      <c r="B48" s="11" t="s">
        <v>95</v>
      </c>
      <c r="C48" s="13" t="s">
        <v>441</v>
      </c>
      <c r="D48" s="11" t="s">
        <v>446</v>
      </c>
      <c r="E48" s="3">
        <v>50</v>
      </c>
      <c r="F48" s="3"/>
      <c r="G48" s="11" t="s">
        <v>96</v>
      </c>
      <c r="H48" s="11" t="s">
        <v>6</v>
      </c>
      <c r="I48" s="11" t="s">
        <v>405</v>
      </c>
      <c r="J48" s="11" t="s">
        <v>349</v>
      </c>
      <c r="K48" s="14" t="s">
        <v>97</v>
      </c>
      <c r="L48" s="6">
        <v>44532.666666666664</v>
      </c>
      <c r="M48" s="11"/>
      <c r="N48" s="11" t="s">
        <v>449</v>
      </c>
    </row>
    <row r="49" spans="1:14" s="2" customFormat="1" x14ac:dyDescent="0.2">
      <c r="A49" s="7">
        <v>44523</v>
      </c>
      <c r="B49" s="11" t="s">
        <v>95</v>
      </c>
      <c r="C49" s="13" t="s">
        <v>441</v>
      </c>
      <c r="D49" s="11" t="s">
        <v>446</v>
      </c>
      <c r="E49" s="3">
        <v>50</v>
      </c>
      <c r="F49" s="3"/>
      <c r="G49" s="11" t="s">
        <v>98</v>
      </c>
      <c r="H49" s="11" t="s">
        <v>6</v>
      </c>
      <c r="I49" s="11" t="s">
        <v>405</v>
      </c>
      <c r="J49" s="11" t="s">
        <v>349</v>
      </c>
      <c r="K49" s="14" t="s">
        <v>97</v>
      </c>
      <c r="L49" s="6">
        <v>44532.666666666664</v>
      </c>
      <c r="M49" s="11"/>
      <c r="N49" s="11" t="s">
        <v>449</v>
      </c>
    </row>
    <row r="50" spans="1:14" x14ac:dyDescent="0.2">
      <c r="A50" s="7">
        <v>44523</v>
      </c>
      <c r="B50" s="11" t="s">
        <v>103</v>
      </c>
      <c r="C50" s="16" t="s">
        <v>441</v>
      </c>
      <c r="D50" s="11" t="s">
        <v>446</v>
      </c>
      <c r="E50" s="3">
        <v>50</v>
      </c>
      <c r="F50" s="3"/>
      <c r="G50" s="11" t="s">
        <v>104</v>
      </c>
      <c r="H50" s="11" t="s">
        <v>4</v>
      </c>
      <c r="I50" s="11" t="s">
        <v>405</v>
      </c>
      <c r="J50" s="11" t="s">
        <v>351</v>
      </c>
      <c r="K50" s="14" t="s">
        <v>105</v>
      </c>
      <c r="L50" s="6">
        <v>44532.75</v>
      </c>
      <c r="M50" s="11" t="s">
        <v>106</v>
      </c>
      <c r="N50" s="11" t="s">
        <v>449</v>
      </c>
    </row>
    <row r="51" spans="1:14" s="2" customFormat="1" x14ac:dyDescent="0.2">
      <c r="A51" s="7">
        <v>44529</v>
      </c>
      <c r="B51" s="11" t="s">
        <v>103</v>
      </c>
      <c r="C51" s="16" t="s">
        <v>441</v>
      </c>
      <c r="D51" s="11" t="s">
        <v>446</v>
      </c>
      <c r="E51" s="3">
        <v>50</v>
      </c>
      <c r="F51" s="3"/>
      <c r="G51" s="11" t="s">
        <v>107</v>
      </c>
      <c r="H51" s="11" t="s">
        <v>4</v>
      </c>
      <c r="I51" s="11" t="s">
        <v>405</v>
      </c>
      <c r="J51" s="11" t="s">
        <v>351</v>
      </c>
      <c r="K51" s="14" t="s">
        <v>105</v>
      </c>
      <c r="L51" s="6">
        <v>44532.75</v>
      </c>
      <c r="M51" s="11"/>
      <c r="N51" s="11" t="s">
        <v>449</v>
      </c>
    </row>
    <row r="52" spans="1:14" s="2" customFormat="1" x14ac:dyDescent="0.2">
      <c r="A52" s="7">
        <v>44530</v>
      </c>
      <c r="B52" s="11" t="s">
        <v>99</v>
      </c>
      <c r="C52" s="13" t="s">
        <v>443</v>
      </c>
      <c r="D52" s="11" t="s">
        <v>445</v>
      </c>
      <c r="E52" s="3">
        <v>50</v>
      </c>
      <c r="F52" s="3"/>
      <c r="G52" s="11" t="s">
        <v>100</v>
      </c>
      <c r="H52" s="11" t="s">
        <v>4</v>
      </c>
      <c r="I52" s="11" t="s">
        <v>405</v>
      </c>
      <c r="J52" s="11" t="s">
        <v>350</v>
      </c>
      <c r="K52" s="14" t="s">
        <v>101</v>
      </c>
      <c r="L52" s="6">
        <v>44533.333333333336</v>
      </c>
      <c r="M52" s="11" t="s">
        <v>440</v>
      </c>
      <c r="N52" s="11" t="s">
        <v>449</v>
      </c>
    </row>
    <row r="53" spans="1:14" x14ac:dyDescent="0.2">
      <c r="A53" s="7">
        <v>44530</v>
      </c>
      <c r="B53" s="11" t="s">
        <v>99</v>
      </c>
      <c r="C53" s="13" t="s">
        <v>455</v>
      </c>
      <c r="D53" s="11" t="s">
        <v>445</v>
      </c>
      <c r="E53" s="3">
        <v>50</v>
      </c>
      <c r="F53" s="3"/>
      <c r="G53" s="11" t="s">
        <v>102</v>
      </c>
      <c r="H53" s="11" t="s">
        <v>4</v>
      </c>
      <c r="I53" s="11" t="s">
        <v>405</v>
      </c>
      <c r="J53" s="11" t="s">
        <v>350</v>
      </c>
      <c r="K53" s="14" t="s">
        <v>101</v>
      </c>
      <c r="L53" s="6">
        <v>44533.333333333336</v>
      </c>
      <c r="M53" s="11"/>
      <c r="N53" s="11" t="s">
        <v>449</v>
      </c>
    </row>
    <row r="54" spans="1:14" x14ac:dyDescent="0.2">
      <c r="A54" s="7">
        <v>44531</v>
      </c>
      <c r="B54" s="11" t="s">
        <v>108</v>
      </c>
      <c r="C54" s="13" t="s">
        <v>441</v>
      </c>
      <c r="D54" s="11" t="s">
        <v>445</v>
      </c>
      <c r="E54" s="3">
        <v>50</v>
      </c>
      <c r="F54" s="3"/>
      <c r="G54" s="11" t="s">
        <v>109</v>
      </c>
      <c r="H54" s="11" t="s">
        <v>4</v>
      </c>
      <c r="I54" s="11" t="s">
        <v>406</v>
      </c>
      <c r="J54" s="11" t="s">
        <v>352</v>
      </c>
      <c r="K54" s="14" t="s">
        <v>110</v>
      </c>
      <c r="L54" s="6">
        <v>44534.375</v>
      </c>
      <c r="M54" s="11" t="s">
        <v>434</v>
      </c>
      <c r="N54" s="11" t="s">
        <v>449</v>
      </c>
    </row>
    <row r="55" spans="1:14" x14ac:dyDescent="0.2">
      <c r="A55" s="7">
        <v>44531</v>
      </c>
      <c r="B55" s="11" t="s">
        <v>108</v>
      </c>
      <c r="C55" s="13" t="s">
        <v>441</v>
      </c>
      <c r="D55" s="11" t="s">
        <v>445</v>
      </c>
      <c r="E55" s="3">
        <v>50</v>
      </c>
      <c r="F55" s="3"/>
      <c r="G55" s="11" t="s">
        <v>111</v>
      </c>
      <c r="H55" s="11" t="s">
        <v>4</v>
      </c>
      <c r="I55" s="11" t="s">
        <v>406</v>
      </c>
      <c r="J55" s="11" t="s">
        <v>352</v>
      </c>
      <c r="K55" s="14" t="s">
        <v>110</v>
      </c>
      <c r="L55" s="6">
        <v>44534.375</v>
      </c>
      <c r="M55" s="11" t="s">
        <v>434</v>
      </c>
      <c r="N55" s="11" t="s">
        <v>449</v>
      </c>
    </row>
    <row r="56" spans="1:14" x14ac:dyDescent="0.2">
      <c r="A56" s="7">
        <v>44531</v>
      </c>
      <c r="B56" s="11" t="s">
        <v>108</v>
      </c>
      <c r="C56" s="13" t="s">
        <v>441</v>
      </c>
      <c r="D56" s="11" t="s">
        <v>445</v>
      </c>
      <c r="E56" s="3">
        <v>50</v>
      </c>
      <c r="F56" s="3"/>
      <c r="G56" s="11" t="s">
        <v>112</v>
      </c>
      <c r="H56" s="11" t="s">
        <v>4</v>
      </c>
      <c r="I56" s="11" t="s">
        <v>406</v>
      </c>
      <c r="J56" s="11" t="s">
        <v>352</v>
      </c>
      <c r="K56" s="14" t="s">
        <v>110</v>
      </c>
      <c r="L56" s="6">
        <v>44534.375</v>
      </c>
      <c r="M56" s="11" t="s">
        <v>433</v>
      </c>
      <c r="N56" s="11" t="s">
        <v>449</v>
      </c>
    </row>
    <row r="57" spans="1:14" x14ac:dyDescent="0.2">
      <c r="A57" s="7">
        <v>44518</v>
      </c>
      <c r="B57" s="11" t="s">
        <v>35</v>
      </c>
      <c r="C57" s="16" t="s">
        <v>441</v>
      </c>
      <c r="D57" s="11" t="s">
        <v>446</v>
      </c>
      <c r="E57" s="3">
        <v>50</v>
      </c>
      <c r="F57" s="3"/>
      <c r="G57" s="11" t="s">
        <v>113</v>
      </c>
      <c r="H57" s="11" t="s">
        <v>6</v>
      </c>
      <c r="I57" s="11" t="s">
        <v>405</v>
      </c>
      <c r="J57" s="11" t="s">
        <v>336</v>
      </c>
      <c r="K57" s="14" t="s">
        <v>37</v>
      </c>
      <c r="L57" s="6">
        <v>44534.666666666664</v>
      </c>
      <c r="M57" s="11"/>
      <c r="N57" s="11" t="s">
        <v>449</v>
      </c>
    </row>
    <row r="58" spans="1:14" x14ac:dyDescent="0.2">
      <c r="A58" s="7">
        <v>44518</v>
      </c>
      <c r="B58" s="11" t="s">
        <v>35</v>
      </c>
      <c r="C58" s="16" t="s">
        <v>441</v>
      </c>
      <c r="D58" s="11" t="s">
        <v>446</v>
      </c>
      <c r="E58" s="3">
        <v>50</v>
      </c>
      <c r="F58" s="3"/>
      <c r="G58" s="11" t="s">
        <v>114</v>
      </c>
      <c r="H58" s="11" t="s">
        <v>6</v>
      </c>
      <c r="I58" s="11" t="s">
        <v>405</v>
      </c>
      <c r="J58" s="11" t="s">
        <v>336</v>
      </c>
      <c r="K58" s="14" t="s">
        <v>37</v>
      </c>
      <c r="L58" s="6">
        <v>44534.666666666664</v>
      </c>
      <c r="M58" s="11"/>
      <c r="N58" s="11" t="s">
        <v>449</v>
      </c>
    </row>
    <row r="59" spans="1:14" x14ac:dyDescent="0.2">
      <c r="A59" s="18">
        <v>44524</v>
      </c>
      <c r="B59" s="11" t="s">
        <v>115</v>
      </c>
      <c r="C59" s="13" t="s">
        <v>441</v>
      </c>
      <c r="D59" s="11" t="s">
        <v>446</v>
      </c>
      <c r="E59" s="3">
        <v>50</v>
      </c>
      <c r="F59" s="3"/>
      <c r="G59" s="11" t="s">
        <v>116</v>
      </c>
      <c r="H59" s="11" t="s">
        <v>4</v>
      </c>
      <c r="I59" s="11" t="s">
        <v>405</v>
      </c>
      <c r="J59" s="11" t="s">
        <v>353</v>
      </c>
      <c r="K59" s="14" t="s">
        <v>117</v>
      </c>
      <c r="L59" s="6">
        <v>44536.375</v>
      </c>
      <c r="M59" s="11"/>
      <c r="N59" s="11" t="s">
        <v>449</v>
      </c>
    </row>
    <row r="60" spans="1:14" s="2" customFormat="1" x14ac:dyDescent="0.2">
      <c r="A60" s="18">
        <v>44524</v>
      </c>
      <c r="B60" s="11" t="s">
        <v>115</v>
      </c>
      <c r="C60" s="13" t="s">
        <v>441</v>
      </c>
      <c r="D60" s="11" t="s">
        <v>446</v>
      </c>
      <c r="E60" s="3">
        <v>50</v>
      </c>
      <c r="F60" s="3"/>
      <c r="G60" s="11" t="s">
        <v>118</v>
      </c>
      <c r="H60" s="11" t="s">
        <v>4</v>
      </c>
      <c r="I60" s="11" t="s">
        <v>405</v>
      </c>
      <c r="J60" s="11" t="s">
        <v>353</v>
      </c>
      <c r="K60" s="14" t="s">
        <v>117</v>
      </c>
      <c r="L60" s="6">
        <v>44536.375</v>
      </c>
      <c r="M60" s="11"/>
      <c r="N60" s="11" t="s">
        <v>449</v>
      </c>
    </row>
    <row r="61" spans="1:14" s="2" customFormat="1" x14ac:dyDescent="0.2">
      <c r="A61" s="18">
        <v>44524</v>
      </c>
      <c r="B61" s="11" t="s">
        <v>115</v>
      </c>
      <c r="C61" s="13" t="s">
        <v>441</v>
      </c>
      <c r="D61" s="11" t="s">
        <v>446</v>
      </c>
      <c r="E61" s="3">
        <v>50</v>
      </c>
      <c r="F61" s="3"/>
      <c r="G61" s="11" t="s">
        <v>119</v>
      </c>
      <c r="H61" s="11" t="s">
        <v>4</v>
      </c>
      <c r="I61" s="11" t="s">
        <v>405</v>
      </c>
      <c r="J61" s="11" t="s">
        <v>353</v>
      </c>
      <c r="K61" s="14" t="s">
        <v>117</v>
      </c>
      <c r="L61" s="6">
        <v>44536.375</v>
      </c>
      <c r="M61" s="11"/>
      <c r="N61" s="11" t="s">
        <v>449</v>
      </c>
    </row>
    <row r="62" spans="1:14" s="2" customFormat="1" x14ac:dyDescent="0.2">
      <c r="A62" s="18">
        <v>44524</v>
      </c>
      <c r="B62" s="11" t="s">
        <v>115</v>
      </c>
      <c r="C62" s="13" t="s">
        <v>441</v>
      </c>
      <c r="D62" s="11" t="s">
        <v>446</v>
      </c>
      <c r="E62" s="3">
        <v>50</v>
      </c>
      <c r="F62" s="3"/>
      <c r="G62" s="11" t="s">
        <v>120</v>
      </c>
      <c r="H62" s="11" t="s">
        <v>4</v>
      </c>
      <c r="I62" s="11" t="s">
        <v>405</v>
      </c>
      <c r="J62" s="11" t="s">
        <v>353</v>
      </c>
      <c r="K62" s="14" t="s">
        <v>117</v>
      </c>
      <c r="L62" s="6">
        <v>44536.375</v>
      </c>
      <c r="M62" s="11"/>
      <c r="N62" s="11" t="s">
        <v>449</v>
      </c>
    </row>
    <row r="63" spans="1:14" x14ac:dyDescent="0.2">
      <c r="A63" s="18">
        <v>44524</v>
      </c>
      <c r="B63" s="11" t="s">
        <v>115</v>
      </c>
      <c r="C63" s="13" t="s">
        <v>441</v>
      </c>
      <c r="D63" s="11" t="s">
        <v>446</v>
      </c>
      <c r="E63" s="3">
        <v>50</v>
      </c>
      <c r="F63" s="3"/>
      <c r="G63" s="11" t="s">
        <v>121</v>
      </c>
      <c r="H63" s="11" t="s">
        <v>4</v>
      </c>
      <c r="I63" s="11" t="s">
        <v>405</v>
      </c>
      <c r="J63" s="11" t="s">
        <v>353</v>
      </c>
      <c r="K63" s="14" t="s">
        <v>117</v>
      </c>
      <c r="L63" s="6">
        <v>44536.375</v>
      </c>
      <c r="M63" s="11" t="s">
        <v>122</v>
      </c>
      <c r="N63" s="11" t="s">
        <v>449</v>
      </c>
    </row>
    <row r="64" spans="1:14" x14ac:dyDescent="0.2">
      <c r="A64" s="7">
        <v>44523</v>
      </c>
      <c r="B64" s="11" t="s">
        <v>10</v>
      </c>
      <c r="C64" s="13" t="s">
        <v>456</v>
      </c>
      <c r="D64" s="11" t="s">
        <v>446</v>
      </c>
      <c r="E64" s="3">
        <v>230</v>
      </c>
      <c r="F64" s="3"/>
      <c r="G64" s="11" t="s">
        <v>123</v>
      </c>
      <c r="H64" s="11" t="s">
        <v>6</v>
      </c>
      <c r="I64" s="11" t="s">
        <v>405</v>
      </c>
      <c r="J64" s="11" t="s">
        <v>354</v>
      </c>
      <c r="K64" s="14" t="s">
        <v>11</v>
      </c>
      <c r="L64" s="6">
        <v>44536.541666666664</v>
      </c>
      <c r="M64" s="11" t="s">
        <v>124</v>
      </c>
      <c r="N64" s="11" t="s">
        <v>449</v>
      </c>
    </row>
    <row r="65" spans="1:14" ht="16" x14ac:dyDescent="0.2">
      <c r="A65" s="7">
        <v>44517</v>
      </c>
      <c r="B65" s="11" t="s">
        <v>125</v>
      </c>
      <c r="C65" s="16" t="s">
        <v>441</v>
      </c>
      <c r="D65" s="11" t="s">
        <v>446</v>
      </c>
      <c r="E65" s="3">
        <v>50</v>
      </c>
      <c r="F65" s="3"/>
      <c r="G65" s="11" t="s">
        <v>126</v>
      </c>
      <c r="H65" s="11" t="s">
        <v>4</v>
      </c>
      <c r="I65" s="11" t="s">
        <v>405</v>
      </c>
      <c r="J65" s="19" t="s">
        <v>355</v>
      </c>
      <c r="K65" s="14" t="s">
        <v>127</v>
      </c>
      <c r="L65" s="6">
        <v>44536.75</v>
      </c>
      <c r="M65" s="11"/>
      <c r="N65" s="11" t="s">
        <v>449</v>
      </c>
    </row>
    <row r="66" spans="1:14" ht="16" x14ac:dyDescent="0.2">
      <c r="A66" s="7">
        <v>44517</v>
      </c>
      <c r="B66" s="11" t="s">
        <v>125</v>
      </c>
      <c r="C66" s="16" t="s">
        <v>441</v>
      </c>
      <c r="D66" s="11" t="s">
        <v>446</v>
      </c>
      <c r="E66" s="3">
        <v>50</v>
      </c>
      <c r="F66" s="3"/>
      <c r="G66" s="11" t="s">
        <v>128</v>
      </c>
      <c r="H66" s="11" t="s">
        <v>4</v>
      </c>
      <c r="I66" s="11" t="s">
        <v>405</v>
      </c>
      <c r="J66" s="19" t="s">
        <v>355</v>
      </c>
      <c r="K66" s="14" t="s">
        <v>127</v>
      </c>
      <c r="L66" s="6">
        <v>44536.75</v>
      </c>
      <c r="M66" s="11"/>
      <c r="N66" s="11" t="s">
        <v>449</v>
      </c>
    </row>
    <row r="67" spans="1:14" s="2" customFormat="1" x14ac:dyDescent="0.2">
      <c r="A67" s="7">
        <v>44518</v>
      </c>
      <c r="B67" s="11" t="s">
        <v>129</v>
      </c>
      <c r="C67" s="16" t="s">
        <v>441</v>
      </c>
      <c r="D67" s="11" t="s">
        <v>446</v>
      </c>
      <c r="E67" s="3">
        <v>50</v>
      </c>
      <c r="F67" s="3"/>
      <c r="G67" s="11" t="s">
        <v>130</v>
      </c>
      <c r="H67" s="11" t="s">
        <v>4</v>
      </c>
      <c r="I67" s="11" t="s">
        <v>405</v>
      </c>
      <c r="J67" s="11" t="s">
        <v>356</v>
      </c>
      <c r="K67" s="14" t="s">
        <v>131</v>
      </c>
      <c r="L67" s="6">
        <v>44536.8125</v>
      </c>
      <c r="M67" s="11"/>
      <c r="N67" s="11" t="s">
        <v>449</v>
      </c>
    </row>
    <row r="68" spans="1:14" s="2" customFormat="1" x14ac:dyDescent="0.2">
      <c r="A68" s="7">
        <v>44518</v>
      </c>
      <c r="B68" s="11" t="s">
        <v>129</v>
      </c>
      <c r="C68" s="16" t="s">
        <v>441</v>
      </c>
      <c r="D68" s="11" t="s">
        <v>446</v>
      </c>
      <c r="E68" s="3">
        <v>50</v>
      </c>
      <c r="F68" s="3"/>
      <c r="G68" s="11" t="s">
        <v>132</v>
      </c>
      <c r="H68" s="11" t="s">
        <v>4</v>
      </c>
      <c r="I68" s="11" t="s">
        <v>405</v>
      </c>
      <c r="J68" s="11" t="s">
        <v>356</v>
      </c>
      <c r="K68" s="14" t="s">
        <v>131</v>
      </c>
      <c r="L68" s="6">
        <v>44536.8125</v>
      </c>
      <c r="M68" s="11"/>
      <c r="N68" s="11" t="s">
        <v>449</v>
      </c>
    </row>
    <row r="69" spans="1:14" s="2" customFormat="1" x14ac:dyDescent="0.2">
      <c r="A69" s="7">
        <v>44518</v>
      </c>
      <c r="B69" s="11" t="s">
        <v>129</v>
      </c>
      <c r="C69" s="16" t="s">
        <v>441</v>
      </c>
      <c r="D69" s="11" t="s">
        <v>446</v>
      </c>
      <c r="E69" s="3">
        <v>50</v>
      </c>
      <c r="F69" s="3"/>
      <c r="G69" s="11" t="s">
        <v>133</v>
      </c>
      <c r="H69" s="11" t="s">
        <v>4</v>
      </c>
      <c r="I69" s="11" t="s">
        <v>405</v>
      </c>
      <c r="J69" s="11" t="s">
        <v>356</v>
      </c>
      <c r="K69" s="14" t="s">
        <v>131</v>
      </c>
      <c r="L69" s="6">
        <v>44536.8125</v>
      </c>
      <c r="M69" s="11" t="s">
        <v>134</v>
      </c>
      <c r="N69" s="11" t="s">
        <v>449</v>
      </c>
    </row>
    <row r="70" spans="1:14" s="2" customFormat="1" x14ac:dyDescent="0.2">
      <c r="A70" s="7">
        <v>44518</v>
      </c>
      <c r="B70" s="11" t="s">
        <v>129</v>
      </c>
      <c r="C70" s="16" t="s">
        <v>441</v>
      </c>
      <c r="D70" s="11" t="s">
        <v>446</v>
      </c>
      <c r="E70" s="3">
        <v>50</v>
      </c>
      <c r="F70" s="3"/>
      <c r="G70" s="11" t="s">
        <v>135</v>
      </c>
      <c r="H70" s="11" t="s">
        <v>4</v>
      </c>
      <c r="I70" s="11" t="s">
        <v>405</v>
      </c>
      <c r="J70" s="11" t="s">
        <v>356</v>
      </c>
      <c r="K70" s="14" t="s">
        <v>131</v>
      </c>
      <c r="L70" s="6">
        <v>44536.8125</v>
      </c>
      <c r="M70" s="11"/>
      <c r="N70" s="11" t="s">
        <v>449</v>
      </c>
    </row>
    <row r="71" spans="1:14" s="2" customFormat="1" x14ac:dyDescent="0.2">
      <c r="A71" s="7">
        <v>44518</v>
      </c>
      <c r="B71" s="11" t="s">
        <v>129</v>
      </c>
      <c r="C71" s="16" t="s">
        <v>441</v>
      </c>
      <c r="D71" s="11" t="s">
        <v>446</v>
      </c>
      <c r="E71" s="3">
        <v>50</v>
      </c>
      <c r="F71" s="3"/>
      <c r="G71" s="11" t="s">
        <v>136</v>
      </c>
      <c r="H71" s="11" t="s">
        <v>4</v>
      </c>
      <c r="I71" s="11" t="s">
        <v>405</v>
      </c>
      <c r="J71" s="11" t="s">
        <v>356</v>
      </c>
      <c r="K71" s="14" t="s">
        <v>131</v>
      </c>
      <c r="L71" s="6">
        <v>44536.8125</v>
      </c>
      <c r="M71" s="11"/>
      <c r="N71" s="11" t="s">
        <v>449</v>
      </c>
    </row>
    <row r="72" spans="1:14" s="2" customFormat="1" x14ac:dyDescent="0.2">
      <c r="A72" s="7">
        <v>44518</v>
      </c>
      <c r="B72" s="11" t="s">
        <v>129</v>
      </c>
      <c r="C72" s="16" t="s">
        <v>441</v>
      </c>
      <c r="D72" s="11" t="s">
        <v>446</v>
      </c>
      <c r="E72" s="3">
        <v>50</v>
      </c>
      <c r="F72" s="3"/>
      <c r="G72" s="11" t="s">
        <v>137</v>
      </c>
      <c r="H72" s="11" t="s">
        <v>4</v>
      </c>
      <c r="I72" s="11" t="s">
        <v>405</v>
      </c>
      <c r="J72" s="11" t="s">
        <v>356</v>
      </c>
      <c r="K72" s="14" t="s">
        <v>131</v>
      </c>
      <c r="L72" s="6">
        <v>44536.8125</v>
      </c>
      <c r="M72" s="11"/>
      <c r="N72" s="11" t="s">
        <v>449</v>
      </c>
    </row>
    <row r="73" spans="1:14" s="2" customFormat="1" x14ac:dyDescent="0.2">
      <c r="A73" s="7">
        <v>44518</v>
      </c>
      <c r="B73" s="11" t="s">
        <v>129</v>
      </c>
      <c r="C73" s="16" t="s">
        <v>441</v>
      </c>
      <c r="D73" s="11" t="s">
        <v>446</v>
      </c>
      <c r="E73" s="3">
        <v>50</v>
      </c>
      <c r="F73" s="3"/>
      <c r="G73" s="11" t="s">
        <v>138</v>
      </c>
      <c r="H73" s="11" t="s">
        <v>4</v>
      </c>
      <c r="I73" s="11" t="s">
        <v>405</v>
      </c>
      <c r="J73" s="11" t="s">
        <v>356</v>
      </c>
      <c r="K73" s="14" t="s">
        <v>131</v>
      </c>
      <c r="L73" s="6">
        <v>44536.8125</v>
      </c>
      <c r="M73" s="11"/>
      <c r="N73" s="11" t="s">
        <v>449</v>
      </c>
    </row>
    <row r="74" spans="1:14" s="2" customFormat="1" x14ac:dyDescent="0.2">
      <c r="A74" s="7">
        <v>44518</v>
      </c>
      <c r="B74" s="11" t="s">
        <v>129</v>
      </c>
      <c r="C74" s="16" t="s">
        <v>441</v>
      </c>
      <c r="D74" s="11" t="s">
        <v>446</v>
      </c>
      <c r="E74" s="3">
        <v>50</v>
      </c>
      <c r="F74" s="3"/>
      <c r="G74" s="11" t="s">
        <v>139</v>
      </c>
      <c r="H74" s="11" t="s">
        <v>4</v>
      </c>
      <c r="I74" s="11" t="s">
        <v>405</v>
      </c>
      <c r="J74" s="11" t="s">
        <v>356</v>
      </c>
      <c r="K74" s="14" t="s">
        <v>131</v>
      </c>
      <c r="L74" s="6">
        <v>44536.8125</v>
      </c>
      <c r="M74" s="11"/>
      <c r="N74" s="11" t="s">
        <v>449</v>
      </c>
    </row>
    <row r="75" spans="1:14" x14ac:dyDescent="0.2">
      <c r="A75" s="7">
        <v>44518</v>
      </c>
      <c r="B75" s="11" t="s">
        <v>129</v>
      </c>
      <c r="C75" s="16" t="s">
        <v>441</v>
      </c>
      <c r="D75" s="11" t="s">
        <v>446</v>
      </c>
      <c r="E75" s="3">
        <v>50</v>
      </c>
      <c r="F75" s="3"/>
      <c r="G75" s="11" t="s">
        <v>140</v>
      </c>
      <c r="H75" s="11" t="s">
        <v>4</v>
      </c>
      <c r="I75" s="11" t="s">
        <v>405</v>
      </c>
      <c r="J75" s="11" t="s">
        <v>356</v>
      </c>
      <c r="K75" s="14" t="s">
        <v>131</v>
      </c>
      <c r="L75" s="6">
        <v>44536.8125</v>
      </c>
      <c r="M75" s="11"/>
      <c r="N75" s="11" t="s">
        <v>449</v>
      </c>
    </row>
    <row r="76" spans="1:14" x14ac:dyDescent="0.2">
      <c r="A76" s="7">
        <v>44526</v>
      </c>
      <c r="B76" s="11" t="s">
        <v>141</v>
      </c>
      <c r="C76" s="13" t="s">
        <v>441</v>
      </c>
      <c r="D76" s="11" t="s">
        <v>446</v>
      </c>
      <c r="E76" s="3">
        <v>50</v>
      </c>
      <c r="F76" s="3"/>
      <c r="G76" s="11" t="s">
        <v>142</v>
      </c>
      <c r="H76" s="11" t="s">
        <v>6</v>
      </c>
      <c r="I76" s="11" t="s">
        <v>405</v>
      </c>
      <c r="J76" s="11" t="s">
        <v>357</v>
      </c>
      <c r="K76" s="14" t="s">
        <v>143</v>
      </c>
      <c r="L76" s="6">
        <v>44538.291666666664</v>
      </c>
      <c r="M76" s="11"/>
      <c r="N76" s="11" t="s">
        <v>449</v>
      </c>
    </row>
    <row r="77" spans="1:14" x14ac:dyDescent="0.2">
      <c r="A77" s="7">
        <v>44526</v>
      </c>
      <c r="B77" s="11" t="s">
        <v>141</v>
      </c>
      <c r="C77" s="13" t="s">
        <v>441</v>
      </c>
      <c r="D77" s="11" t="s">
        <v>446</v>
      </c>
      <c r="E77" s="3">
        <v>50</v>
      </c>
      <c r="F77" s="12"/>
      <c r="G77" s="13" t="s">
        <v>144</v>
      </c>
      <c r="H77" s="11" t="s">
        <v>6</v>
      </c>
      <c r="I77" s="11" t="s">
        <v>405</v>
      </c>
      <c r="J77" s="11" t="s">
        <v>357</v>
      </c>
      <c r="K77" s="14" t="s">
        <v>143</v>
      </c>
      <c r="L77" s="6">
        <v>44538.291666666664</v>
      </c>
      <c r="M77" s="11"/>
      <c r="N77" s="11" t="s">
        <v>449</v>
      </c>
    </row>
    <row r="78" spans="1:14" x14ac:dyDescent="0.2">
      <c r="A78" s="7">
        <v>44526</v>
      </c>
      <c r="B78" s="11" t="s">
        <v>141</v>
      </c>
      <c r="C78" s="13" t="s">
        <v>441</v>
      </c>
      <c r="D78" s="11" t="s">
        <v>446</v>
      </c>
      <c r="E78" s="3">
        <v>50</v>
      </c>
      <c r="F78" s="3"/>
      <c r="G78" s="11" t="s">
        <v>145</v>
      </c>
      <c r="H78" s="11" t="s">
        <v>6</v>
      </c>
      <c r="I78" s="11" t="s">
        <v>405</v>
      </c>
      <c r="J78" s="11" t="s">
        <v>357</v>
      </c>
      <c r="K78" s="14" t="s">
        <v>143</v>
      </c>
      <c r="L78" s="6">
        <v>44538.291666666664</v>
      </c>
      <c r="M78" s="11"/>
      <c r="N78" s="11" t="s">
        <v>449</v>
      </c>
    </row>
    <row r="79" spans="1:14" x14ac:dyDescent="0.2">
      <c r="A79" s="7">
        <v>44526</v>
      </c>
      <c r="B79" s="11" t="s">
        <v>141</v>
      </c>
      <c r="C79" s="13" t="s">
        <v>441</v>
      </c>
      <c r="D79" s="11" t="s">
        <v>446</v>
      </c>
      <c r="E79" s="3">
        <v>50</v>
      </c>
      <c r="F79" s="3"/>
      <c r="G79" s="11" t="s">
        <v>146</v>
      </c>
      <c r="H79" s="11" t="s">
        <v>6</v>
      </c>
      <c r="I79" s="11" t="s">
        <v>405</v>
      </c>
      <c r="J79" s="11" t="s">
        <v>357</v>
      </c>
      <c r="K79" s="14" t="s">
        <v>143</v>
      </c>
      <c r="L79" s="6">
        <v>44538.291666666664</v>
      </c>
      <c r="M79" s="11"/>
      <c r="N79" s="11" t="s">
        <v>449</v>
      </c>
    </row>
    <row r="80" spans="1:14" x14ac:dyDescent="0.2">
      <c r="A80" s="7">
        <v>44526</v>
      </c>
      <c r="B80" s="11" t="s">
        <v>141</v>
      </c>
      <c r="C80" s="13" t="s">
        <v>441</v>
      </c>
      <c r="D80" s="11" t="s">
        <v>446</v>
      </c>
      <c r="E80" s="3">
        <v>50</v>
      </c>
      <c r="F80" s="3"/>
      <c r="G80" s="11" t="s">
        <v>147</v>
      </c>
      <c r="H80" s="11" t="s">
        <v>6</v>
      </c>
      <c r="I80" s="11" t="s">
        <v>405</v>
      </c>
      <c r="J80" s="11" t="s">
        <v>357</v>
      </c>
      <c r="K80" s="14" t="s">
        <v>143</v>
      </c>
      <c r="L80" s="6">
        <v>44538.291666666664</v>
      </c>
      <c r="M80" s="11"/>
      <c r="N80" s="11" t="s">
        <v>449</v>
      </c>
    </row>
    <row r="81" spans="1:14" x14ac:dyDescent="0.2">
      <c r="A81" s="7">
        <v>44515</v>
      </c>
      <c r="B81" s="11" t="s">
        <v>31</v>
      </c>
      <c r="C81" s="16" t="s">
        <v>441</v>
      </c>
      <c r="D81" s="11" t="s">
        <v>446</v>
      </c>
      <c r="E81" s="3">
        <v>50</v>
      </c>
      <c r="F81" s="3"/>
      <c r="G81" s="11" t="s">
        <v>148</v>
      </c>
      <c r="H81" s="11" t="s">
        <v>6</v>
      </c>
      <c r="I81" s="11" t="s">
        <v>405</v>
      </c>
      <c r="J81" s="11" t="s">
        <v>358</v>
      </c>
      <c r="K81" s="14" t="s">
        <v>33</v>
      </c>
      <c r="L81" s="6">
        <v>44539.583333333336</v>
      </c>
      <c r="M81" s="11" t="s">
        <v>149</v>
      </c>
      <c r="N81" s="11" t="s">
        <v>449</v>
      </c>
    </row>
    <row r="82" spans="1:14" s="2" customFormat="1" x14ac:dyDescent="0.2">
      <c r="A82" s="7">
        <v>44515</v>
      </c>
      <c r="B82" s="11" t="s">
        <v>31</v>
      </c>
      <c r="C82" s="16" t="s">
        <v>441</v>
      </c>
      <c r="D82" s="11" t="s">
        <v>446</v>
      </c>
      <c r="E82" s="3">
        <v>50</v>
      </c>
      <c r="F82" s="3"/>
      <c r="G82" s="20" t="s">
        <v>150</v>
      </c>
      <c r="H82" s="11" t="s">
        <v>6</v>
      </c>
      <c r="I82" s="11" t="s">
        <v>405</v>
      </c>
      <c r="J82" s="21" t="s">
        <v>358</v>
      </c>
      <c r="K82" s="14" t="s">
        <v>33</v>
      </c>
      <c r="L82" s="6">
        <v>44539.583333333336</v>
      </c>
      <c r="M82" s="11" t="s">
        <v>149</v>
      </c>
      <c r="N82" s="11" t="s">
        <v>449</v>
      </c>
    </row>
    <row r="83" spans="1:14" s="2" customFormat="1" x14ac:dyDescent="0.2">
      <c r="A83" s="7">
        <v>44530</v>
      </c>
      <c r="B83" s="15" t="s">
        <v>151</v>
      </c>
      <c r="C83" s="13" t="s">
        <v>452</v>
      </c>
      <c r="D83" s="11" t="s">
        <v>447</v>
      </c>
      <c r="E83" s="3">
        <v>75</v>
      </c>
      <c r="F83" s="11" t="s">
        <v>152</v>
      </c>
      <c r="G83" s="11"/>
      <c r="H83" s="11" t="s">
        <v>6</v>
      </c>
      <c r="I83" s="11" t="s">
        <v>406</v>
      </c>
      <c r="J83" s="21" t="s">
        <v>359</v>
      </c>
      <c r="K83" s="14" t="s">
        <v>153</v>
      </c>
      <c r="L83" s="6">
        <v>44540.375</v>
      </c>
      <c r="M83" s="11"/>
      <c r="N83" s="11" t="s">
        <v>449</v>
      </c>
    </row>
    <row r="84" spans="1:14" s="2" customFormat="1" x14ac:dyDescent="0.2">
      <c r="A84" s="7">
        <v>44531</v>
      </c>
      <c r="B84" s="11" t="s">
        <v>154</v>
      </c>
      <c r="C84" s="13" t="s">
        <v>441</v>
      </c>
      <c r="D84" s="11" t="s">
        <v>446</v>
      </c>
      <c r="E84" s="3">
        <v>50</v>
      </c>
      <c r="F84" s="3"/>
      <c r="G84" s="11" t="s">
        <v>155</v>
      </c>
      <c r="H84" s="11" t="s">
        <v>156</v>
      </c>
      <c r="I84" s="11" t="s">
        <v>405</v>
      </c>
      <c r="J84" s="21" t="s">
        <v>360</v>
      </c>
      <c r="K84" s="14" t="s">
        <v>157</v>
      </c>
      <c r="L84" s="6">
        <v>44541.354166666664</v>
      </c>
      <c r="M84" s="11"/>
      <c r="N84" s="11" t="s">
        <v>449</v>
      </c>
    </row>
    <row r="85" spans="1:14" s="2" customFormat="1" x14ac:dyDescent="0.2">
      <c r="A85" s="7">
        <v>44531</v>
      </c>
      <c r="B85" s="11" t="s">
        <v>154</v>
      </c>
      <c r="C85" s="13" t="s">
        <v>441</v>
      </c>
      <c r="D85" s="11" t="s">
        <v>446</v>
      </c>
      <c r="E85" s="3">
        <v>50</v>
      </c>
      <c r="F85" s="3"/>
      <c r="G85" s="11" t="s">
        <v>158</v>
      </c>
      <c r="H85" s="11" t="s">
        <v>156</v>
      </c>
      <c r="I85" s="11" t="s">
        <v>405</v>
      </c>
      <c r="J85" s="21" t="s">
        <v>360</v>
      </c>
      <c r="K85" s="14" t="s">
        <v>157</v>
      </c>
      <c r="L85" s="6">
        <v>44541.354166666664</v>
      </c>
      <c r="M85" s="11"/>
      <c r="N85" s="11" t="s">
        <v>449</v>
      </c>
    </row>
    <row r="86" spans="1:14" s="2" customFormat="1" x14ac:dyDescent="0.2">
      <c r="A86" s="22">
        <v>44531</v>
      </c>
      <c r="B86" s="17" t="s">
        <v>154</v>
      </c>
      <c r="C86" s="23" t="s">
        <v>441</v>
      </c>
      <c r="D86" s="11" t="s">
        <v>446</v>
      </c>
      <c r="E86" s="4">
        <v>50</v>
      </c>
      <c r="F86" s="4"/>
      <c r="G86" s="17" t="s">
        <v>159</v>
      </c>
      <c r="H86" s="11" t="s">
        <v>156</v>
      </c>
      <c r="I86" s="11" t="s">
        <v>405</v>
      </c>
      <c r="J86" s="21" t="s">
        <v>360</v>
      </c>
      <c r="K86" s="24" t="s">
        <v>157</v>
      </c>
      <c r="L86" s="6">
        <v>44541.354166666664</v>
      </c>
      <c r="M86" s="17"/>
      <c r="N86" s="11" t="s">
        <v>449</v>
      </c>
    </row>
    <row r="87" spans="1:14" s="2" customFormat="1" x14ac:dyDescent="0.2">
      <c r="A87" s="7">
        <v>44531</v>
      </c>
      <c r="B87" s="11" t="s">
        <v>154</v>
      </c>
      <c r="C87" s="13" t="s">
        <v>441</v>
      </c>
      <c r="D87" s="11" t="s">
        <v>446</v>
      </c>
      <c r="E87" s="3">
        <v>50</v>
      </c>
      <c r="F87" s="3"/>
      <c r="G87" s="11" t="s">
        <v>160</v>
      </c>
      <c r="H87" s="11" t="s">
        <v>156</v>
      </c>
      <c r="I87" s="11" t="s">
        <v>405</v>
      </c>
      <c r="J87" s="21" t="s">
        <v>360</v>
      </c>
      <c r="K87" s="14" t="s">
        <v>157</v>
      </c>
      <c r="L87" s="6">
        <v>44541.354166666664</v>
      </c>
      <c r="M87" s="11"/>
      <c r="N87" s="11" t="s">
        <v>449</v>
      </c>
    </row>
    <row r="88" spans="1:14" s="2" customFormat="1" x14ac:dyDescent="0.2">
      <c r="A88" s="7">
        <v>44531</v>
      </c>
      <c r="B88" s="11" t="s">
        <v>154</v>
      </c>
      <c r="C88" s="13" t="s">
        <v>441</v>
      </c>
      <c r="D88" s="11" t="s">
        <v>446</v>
      </c>
      <c r="E88" s="3">
        <v>50</v>
      </c>
      <c r="F88" s="3"/>
      <c r="G88" s="11" t="s">
        <v>161</v>
      </c>
      <c r="H88" s="11" t="s">
        <v>156</v>
      </c>
      <c r="I88" s="11" t="s">
        <v>405</v>
      </c>
      <c r="J88" s="21" t="s">
        <v>360</v>
      </c>
      <c r="K88" s="14" t="s">
        <v>157</v>
      </c>
      <c r="L88" s="6">
        <v>44541.354166666664</v>
      </c>
      <c r="M88" s="11"/>
      <c r="N88" s="11" t="s">
        <v>449</v>
      </c>
    </row>
    <row r="89" spans="1:14" s="2" customFormat="1" x14ac:dyDescent="0.2">
      <c r="A89" s="7">
        <v>44531</v>
      </c>
      <c r="B89" s="11" t="s">
        <v>154</v>
      </c>
      <c r="C89" s="13" t="s">
        <v>456</v>
      </c>
      <c r="D89" s="11" t="s">
        <v>446</v>
      </c>
      <c r="E89" s="3">
        <v>300</v>
      </c>
      <c r="F89" s="3"/>
      <c r="G89" s="11" t="s">
        <v>162</v>
      </c>
      <c r="H89" s="11" t="s">
        <v>156</v>
      </c>
      <c r="I89" s="11" t="s">
        <v>405</v>
      </c>
      <c r="J89" s="21" t="s">
        <v>360</v>
      </c>
      <c r="K89" s="14" t="s">
        <v>157</v>
      </c>
      <c r="L89" s="6">
        <v>44541.354166666664</v>
      </c>
      <c r="M89" s="11"/>
      <c r="N89" s="11" t="s">
        <v>449</v>
      </c>
    </row>
    <row r="90" spans="1:14" s="2" customFormat="1" x14ac:dyDescent="0.2">
      <c r="A90" s="7">
        <v>44531</v>
      </c>
      <c r="B90" s="11" t="s">
        <v>154</v>
      </c>
      <c r="C90" s="13" t="s">
        <v>456</v>
      </c>
      <c r="D90" s="11" t="s">
        <v>446</v>
      </c>
      <c r="E90" s="3">
        <v>300</v>
      </c>
      <c r="F90" s="3"/>
      <c r="G90" s="11" t="s">
        <v>163</v>
      </c>
      <c r="H90" s="11" t="s">
        <v>156</v>
      </c>
      <c r="I90" s="11" t="s">
        <v>405</v>
      </c>
      <c r="J90" s="11" t="s">
        <v>360</v>
      </c>
      <c r="K90" s="14" t="s">
        <v>157</v>
      </c>
      <c r="L90" s="6">
        <v>44541.354166666664</v>
      </c>
      <c r="M90" s="11"/>
      <c r="N90" s="11" t="s">
        <v>449</v>
      </c>
    </row>
    <row r="91" spans="1:14" x14ac:dyDescent="0.2">
      <c r="A91" s="7">
        <v>44523</v>
      </c>
      <c r="B91" s="11" t="s">
        <v>164</v>
      </c>
      <c r="C91" s="13" t="s">
        <v>457</v>
      </c>
      <c r="D91" s="11" t="s">
        <v>445</v>
      </c>
      <c r="E91" s="3">
        <v>50</v>
      </c>
      <c r="F91" s="3"/>
      <c r="G91" s="11" t="s">
        <v>165</v>
      </c>
      <c r="H91" s="11" t="s">
        <v>6</v>
      </c>
      <c r="I91" s="11" t="s">
        <v>405</v>
      </c>
      <c r="J91" s="11" t="s">
        <v>361</v>
      </c>
      <c r="K91" s="14" t="s">
        <v>166</v>
      </c>
      <c r="L91" s="6">
        <v>44544.333333333336</v>
      </c>
      <c r="M91" s="11" t="s">
        <v>444</v>
      </c>
      <c r="N91" s="11" t="s">
        <v>449</v>
      </c>
    </row>
    <row r="92" spans="1:14" x14ac:dyDescent="0.2">
      <c r="A92" s="7">
        <v>44530</v>
      </c>
      <c r="B92" s="11" t="s">
        <v>164</v>
      </c>
      <c r="C92" s="13" t="s">
        <v>457</v>
      </c>
      <c r="D92" s="11" t="s">
        <v>445</v>
      </c>
      <c r="E92" s="3">
        <v>50</v>
      </c>
      <c r="F92" s="3"/>
      <c r="G92" s="11" t="s">
        <v>167</v>
      </c>
      <c r="H92" s="11" t="s">
        <v>6</v>
      </c>
      <c r="I92" s="11" t="s">
        <v>405</v>
      </c>
      <c r="J92" s="11" t="s">
        <v>361</v>
      </c>
      <c r="K92" s="14" t="s">
        <v>166</v>
      </c>
      <c r="L92" s="6">
        <v>44544.333333333336</v>
      </c>
      <c r="M92" s="11" t="s">
        <v>168</v>
      </c>
      <c r="N92" s="11" t="s">
        <v>449</v>
      </c>
    </row>
    <row r="93" spans="1:14" x14ac:dyDescent="0.2">
      <c r="A93" s="7">
        <v>44536</v>
      </c>
      <c r="B93" s="11" t="s">
        <v>169</v>
      </c>
      <c r="C93" s="13" t="s">
        <v>450</v>
      </c>
      <c r="D93" s="11" t="s">
        <v>445</v>
      </c>
      <c r="E93" s="3">
        <v>55</v>
      </c>
      <c r="F93" s="3"/>
      <c r="G93" s="11" t="s">
        <v>170</v>
      </c>
      <c r="H93" s="11" t="s">
        <v>6</v>
      </c>
      <c r="I93" s="11" t="s">
        <v>405</v>
      </c>
      <c r="J93" s="11" t="s">
        <v>362</v>
      </c>
      <c r="K93" s="14" t="s">
        <v>171</v>
      </c>
      <c r="L93" s="6">
        <v>44545.583333333336</v>
      </c>
      <c r="M93" s="11"/>
      <c r="N93" s="11" t="s">
        <v>449</v>
      </c>
    </row>
    <row r="94" spans="1:14" x14ac:dyDescent="0.2">
      <c r="A94" s="7">
        <v>44516</v>
      </c>
      <c r="B94" s="11" t="s">
        <v>39</v>
      </c>
      <c r="C94" s="16" t="s">
        <v>441</v>
      </c>
      <c r="D94" s="11" t="s">
        <v>446</v>
      </c>
      <c r="E94" s="3">
        <v>50</v>
      </c>
      <c r="F94" s="3"/>
      <c r="G94" s="11" t="s">
        <v>172</v>
      </c>
      <c r="H94" s="11" t="s">
        <v>4</v>
      </c>
      <c r="I94" s="11" t="s">
        <v>405</v>
      </c>
      <c r="J94" s="11" t="s">
        <v>363</v>
      </c>
      <c r="K94" s="14" t="s">
        <v>173</v>
      </c>
      <c r="L94" s="6">
        <v>44545.708333333336</v>
      </c>
      <c r="M94" s="11" t="s">
        <v>174</v>
      </c>
      <c r="N94" s="11" t="s">
        <v>449</v>
      </c>
    </row>
    <row r="95" spans="1:14" s="2" customFormat="1" x14ac:dyDescent="0.2">
      <c r="A95" s="7">
        <v>44516</v>
      </c>
      <c r="B95" s="11" t="s">
        <v>39</v>
      </c>
      <c r="C95" s="16" t="s">
        <v>441</v>
      </c>
      <c r="D95" s="11" t="s">
        <v>446</v>
      </c>
      <c r="E95" s="3">
        <v>50</v>
      </c>
      <c r="F95" s="3"/>
      <c r="G95" s="11" t="s">
        <v>175</v>
      </c>
      <c r="H95" s="11" t="s">
        <v>4</v>
      </c>
      <c r="I95" s="11" t="s">
        <v>405</v>
      </c>
      <c r="J95" s="11" t="s">
        <v>363</v>
      </c>
      <c r="K95" s="14" t="s">
        <v>173</v>
      </c>
      <c r="L95" s="6">
        <v>44545.708333333336</v>
      </c>
      <c r="M95" s="11"/>
      <c r="N95" s="11" t="s">
        <v>449</v>
      </c>
    </row>
    <row r="96" spans="1:14" x14ac:dyDescent="0.2">
      <c r="A96" s="7">
        <v>44516</v>
      </c>
      <c r="B96" s="11" t="s">
        <v>39</v>
      </c>
      <c r="C96" s="16" t="s">
        <v>441</v>
      </c>
      <c r="D96" s="11" t="s">
        <v>446</v>
      </c>
      <c r="E96" s="3">
        <v>50</v>
      </c>
      <c r="F96" s="3"/>
      <c r="G96" s="11" t="s">
        <v>176</v>
      </c>
      <c r="H96" s="11" t="s">
        <v>4</v>
      </c>
      <c r="I96" s="11" t="s">
        <v>405</v>
      </c>
      <c r="J96" s="11" t="s">
        <v>363</v>
      </c>
      <c r="K96" s="14" t="s">
        <v>173</v>
      </c>
      <c r="L96" s="6">
        <v>44545.708333333336</v>
      </c>
      <c r="M96" s="11"/>
      <c r="N96" s="11" t="s">
        <v>449</v>
      </c>
    </row>
    <row r="97" spans="1:14" x14ac:dyDescent="0.2">
      <c r="A97" s="7">
        <v>44538</v>
      </c>
      <c r="B97" s="11" t="s">
        <v>177</v>
      </c>
      <c r="C97" s="13" t="s">
        <v>451</v>
      </c>
      <c r="D97" s="11" t="s">
        <v>446</v>
      </c>
      <c r="E97" s="3">
        <v>55</v>
      </c>
      <c r="F97" s="3"/>
      <c r="G97" s="11" t="s">
        <v>178</v>
      </c>
      <c r="H97" s="11" t="s">
        <v>6</v>
      </c>
      <c r="I97" s="11" t="s">
        <v>405</v>
      </c>
      <c r="J97" s="11" t="s">
        <v>364</v>
      </c>
      <c r="K97" s="14" t="s">
        <v>179</v>
      </c>
      <c r="L97" s="6">
        <v>44545.791666666664</v>
      </c>
      <c r="M97" s="11"/>
      <c r="N97" s="11" t="s">
        <v>449</v>
      </c>
    </row>
    <row r="98" spans="1:14" x14ac:dyDescent="0.2">
      <c r="A98" s="7">
        <v>44545</v>
      </c>
      <c r="B98" s="11" t="s">
        <v>5</v>
      </c>
      <c r="C98" s="13" t="s">
        <v>451</v>
      </c>
      <c r="D98" s="11" t="s">
        <v>446</v>
      </c>
      <c r="E98" s="3">
        <v>55</v>
      </c>
      <c r="F98" s="3"/>
      <c r="G98" s="11" t="s">
        <v>180</v>
      </c>
      <c r="H98" s="11" t="s">
        <v>6</v>
      </c>
      <c r="I98" s="11" t="s">
        <v>405</v>
      </c>
      <c r="J98" s="11" t="s">
        <v>365</v>
      </c>
      <c r="K98" s="11" t="s">
        <v>7</v>
      </c>
      <c r="L98" s="6">
        <v>44546.625</v>
      </c>
      <c r="M98" s="11"/>
      <c r="N98" s="11" t="s">
        <v>449</v>
      </c>
    </row>
    <row r="99" spans="1:14" x14ac:dyDescent="0.2">
      <c r="A99" s="7">
        <v>44545</v>
      </c>
      <c r="B99" s="11" t="s">
        <v>5</v>
      </c>
      <c r="C99" s="13" t="s">
        <v>451</v>
      </c>
      <c r="D99" s="11" t="s">
        <v>446</v>
      </c>
      <c r="E99" s="3">
        <v>55</v>
      </c>
      <c r="F99" s="3"/>
      <c r="G99" s="11" t="s">
        <v>181</v>
      </c>
      <c r="H99" s="11" t="s">
        <v>6</v>
      </c>
      <c r="I99" s="11" t="s">
        <v>405</v>
      </c>
      <c r="J99" s="11" t="s">
        <v>365</v>
      </c>
      <c r="K99" s="11" t="s">
        <v>7</v>
      </c>
      <c r="L99" s="6">
        <v>44546.625</v>
      </c>
      <c r="M99" s="11"/>
      <c r="N99" s="11" t="s">
        <v>449</v>
      </c>
    </row>
    <row r="100" spans="1:14" x14ac:dyDescent="0.2">
      <c r="A100" s="7">
        <v>44536</v>
      </c>
      <c r="B100" s="11" t="s">
        <v>185</v>
      </c>
      <c r="C100" s="13" t="s">
        <v>441</v>
      </c>
      <c r="D100" s="11" t="s">
        <v>446</v>
      </c>
      <c r="E100" s="3">
        <v>50</v>
      </c>
      <c r="F100" s="3"/>
      <c r="G100" s="11" t="s">
        <v>186</v>
      </c>
      <c r="H100" s="11" t="s">
        <v>4</v>
      </c>
      <c r="I100" s="11" t="s">
        <v>405</v>
      </c>
      <c r="J100" s="11" t="s">
        <v>367</v>
      </c>
      <c r="K100" s="14" t="s">
        <v>187</v>
      </c>
      <c r="L100" s="6">
        <v>44549.416666666664</v>
      </c>
      <c r="M100" s="11"/>
      <c r="N100" s="11" t="s">
        <v>449</v>
      </c>
    </row>
    <row r="101" spans="1:14" x14ac:dyDescent="0.2">
      <c r="A101" s="7">
        <v>44549</v>
      </c>
      <c r="B101" s="11" t="s">
        <v>185</v>
      </c>
      <c r="C101" s="13" t="s">
        <v>441</v>
      </c>
      <c r="D101" s="11" t="s">
        <v>445</v>
      </c>
      <c r="E101" s="3">
        <v>50</v>
      </c>
      <c r="F101" s="3"/>
      <c r="G101" s="11" t="s">
        <v>188</v>
      </c>
      <c r="H101" s="11" t="s">
        <v>4</v>
      </c>
      <c r="I101" s="11" t="s">
        <v>405</v>
      </c>
      <c r="J101" s="11"/>
      <c r="K101" s="14" t="s">
        <v>189</v>
      </c>
      <c r="L101" s="6">
        <v>44549.416666666664</v>
      </c>
      <c r="M101" s="11"/>
      <c r="N101" s="11" t="s">
        <v>449</v>
      </c>
    </row>
    <row r="102" spans="1:14" x14ac:dyDescent="0.2">
      <c r="A102" s="7">
        <v>44512</v>
      </c>
      <c r="B102" s="11" t="s">
        <v>412</v>
      </c>
      <c r="C102" s="13" t="s">
        <v>441</v>
      </c>
      <c r="D102" s="11" t="s">
        <v>446</v>
      </c>
      <c r="E102" s="3">
        <v>50</v>
      </c>
      <c r="F102" s="3"/>
      <c r="G102" s="11" t="s">
        <v>182</v>
      </c>
      <c r="H102" s="11" t="s">
        <v>4</v>
      </c>
      <c r="I102" s="11" t="s">
        <v>405</v>
      </c>
      <c r="J102" s="11" t="s">
        <v>366</v>
      </c>
      <c r="K102" s="14" t="s">
        <v>183</v>
      </c>
      <c r="L102" s="6">
        <v>44549.708333333336</v>
      </c>
      <c r="M102" s="11"/>
      <c r="N102" s="11" t="s">
        <v>449</v>
      </c>
    </row>
    <row r="103" spans="1:14" x14ac:dyDescent="0.2">
      <c r="A103" s="7">
        <v>44512</v>
      </c>
      <c r="B103" s="11" t="s">
        <v>412</v>
      </c>
      <c r="C103" s="13" t="s">
        <v>441</v>
      </c>
      <c r="D103" s="11" t="s">
        <v>446</v>
      </c>
      <c r="E103" s="3">
        <v>50</v>
      </c>
      <c r="F103" s="3"/>
      <c r="G103" s="11" t="s">
        <v>184</v>
      </c>
      <c r="H103" s="11" t="s">
        <v>4</v>
      </c>
      <c r="I103" s="11" t="s">
        <v>405</v>
      </c>
      <c r="J103" s="11" t="s">
        <v>366</v>
      </c>
      <c r="K103" s="14" t="s">
        <v>183</v>
      </c>
      <c r="L103" s="6">
        <v>44549.708333333336</v>
      </c>
      <c r="M103" s="11"/>
      <c r="N103" s="11" t="s">
        <v>449</v>
      </c>
    </row>
    <row r="104" spans="1:14" x14ac:dyDescent="0.2">
      <c r="A104" s="7">
        <v>44543</v>
      </c>
      <c r="B104" s="11" t="s">
        <v>190</v>
      </c>
      <c r="C104" s="13" t="s">
        <v>451</v>
      </c>
      <c r="D104" s="11" t="s">
        <v>446</v>
      </c>
      <c r="E104" s="3">
        <v>55</v>
      </c>
      <c r="F104" s="3"/>
      <c r="G104" s="11" t="s">
        <v>191</v>
      </c>
      <c r="H104" s="11" t="s">
        <v>6</v>
      </c>
      <c r="I104" s="11" t="s">
        <v>404</v>
      </c>
      <c r="J104" s="11" t="s">
        <v>368</v>
      </c>
      <c r="K104" s="14" t="s">
        <v>192</v>
      </c>
      <c r="L104" s="6">
        <v>44550.604166666664</v>
      </c>
      <c r="M104" s="11"/>
      <c r="N104" s="11" t="s">
        <v>449</v>
      </c>
    </row>
    <row r="105" spans="1:14" s="2" customFormat="1" x14ac:dyDescent="0.2">
      <c r="A105" s="7">
        <v>44545</v>
      </c>
      <c r="B105" s="11" t="s">
        <v>27</v>
      </c>
      <c r="C105" s="13" t="s">
        <v>450</v>
      </c>
      <c r="D105" s="11" t="s">
        <v>445</v>
      </c>
      <c r="E105" s="3">
        <v>55</v>
      </c>
      <c r="F105" s="3"/>
      <c r="G105" s="11" t="s">
        <v>193</v>
      </c>
      <c r="H105" s="11" t="s">
        <v>6</v>
      </c>
      <c r="I105" s="11" t="s">
        <v>405</v>
      </c>
      <c r="J105" s="11" t="s">
        <v>369</v>
      </c>
      <c r="K105" s="14" t="s">
        <v>29</v>
      </c>
      <c r="L105" s="6">
        <v>44552.416666666664</v>
      </c>
      <c r="M105" s="11"/>
      <c r="N105" s="11" t="s">
        <v>449</v>
      </c>
    </row>
    <row r="106" spans="1:14" s="2" customFormat="1" x14ac:dyDescent="0.2">
      <c r="A106" s="7">
        <v>44550</v>
      </c>
      <c r="B106" s="11" t="s">
        <v>5</v>
      </c>
      <c r="C106" s="13" t="s">
        <v>451</v>
      </c>
      <c r="D106" s="11" t="s">
        <v>447</v>
      </c>
      <c r="E106" s="3">
        <v>40</v>
      </c>
      <c r="F106" s="11" t="s">
        <v>194</v>
      </c>
      <c r="G106" s="11"/>
      <c r="H106" s="11" t="s">
        <v>6</v>
      </c>
      <c r="I106" s="11" t="s">
        <v>406</v>
      </c>
      <c r="J106" s="11" t="s">
        <v>365</v>
      </c>
      <c r="K106" s="11" t="s">
        <v>7</v>
      </c>
      <c r="L106" s="6">
        <v>44553.416666666664</v>
      </c>
      <c r="M106" s="11"/>
      <c r="N106" s="11" t="s">
        <v>449</v>
      </c>
    </row>
    <row r="107" spans="1:14" x14ac:dyDescent="0.2">
      <c r="A107" s="7">
        <v>44550</v>
      </c>
      <c r="B107" s="11" t="s">
        <v>5</v>
      </c>
      <c r="C107" s="13" t="s">
        <v>451</v>
      </c>
      <c r="D107" s="11" t="s">
        <v>447</v>
      </c>
      <c r="E107" s="3">
        <v>40</v>
      </c>
      <c r="F107" s="11" t="s">
        <v>195</v>
      </c>
      <c r="G107" s="11"/>
      <c r="H107" s="11" t="s">
        <v>6</v>
      </c>
      <c r="I107" s="11" t="s">
        <v>406</v>
      </c>
      <c r="J107" s="11" t="s">
        <v>365</v>
      </c>
      <c r="K107" s="11" t="s">
        <v>7</v>
      </c>
      <c r="L107" s="6">
        <v>44553.416666666664</v>
      </c>
      <c r="M107" s="11"/>
      <c r="N107" s="11" t="s">
        <v>449</v>
      </c>
    </row>
    <row r="108" spans="1:14" x14ac:dyDescent="0.2">
      <c r="A108" s="7">
        <v>44530</v>
      </c>
      <c r="B108" s="11" t="s">
        <v>99</v>
      </c>
      <c r="C108" s="13" t="s">
        <v>443</v>
      </c>
      <c r="D108" s="11" t="s">
        <v>445</v>
      </c>
      <c r="E108" s="3">
        <v>50</v>
      </c>
      <c r="F108" s="3"/>
      <c r="G108" s="11" t="s">
        <v>100</v>
      </c>
      <c r="H108" s="11" t="s">
        <v>4</v>
      </c>
      <c r="I108" s="11" t="s">
        <v>405</v>
      </c>
      <c r="J108" s="11" t="s">
        <v>350</v>
      </c>
      <c r="K108" s="14" t="s">
        <v>101</v>
      </c>
      <c r="L108" s="6">
        <v>44553.5</v>
      </c>
      <c r="M108" s="11" t="s">
        <v>439</v>
      </c>
      <c r="N108" s="11" t="s">
        <v>449</v>
      </c>
    </row>
    <row r="109" spans="1:14" x14ac:dyDescent="0.2">
      <c r="A109" s="7">
        <v>44530</v>
      </c>
      <c r="B109" s="11" t="s">
        <v>99</v>
      </c>
      <c r="C109" s="13" t="s">
        <v>455</v>
      </c>
      <c r="D109" s="11" t="s">
        <v>445</v>
      </c>
      <c r="E109" s="3">
        <v>50</v>
      </c>
      <c r="F109" s="3"/>
      <c r="G109" s="11" t="s">
        <v>102</v>
      </c>
      <c r="H109" s="11" t="s">
        <v>4</v>
      </c>
      <c r="I109" s="11" t="s">
        <v>405</v>
      </c>
      <c r="J109" s="11" t="s">
        <v>350</v>
      </c>
      <c r="K109" s="14" t="s">
        <v>101</v>
      </c>
      <c r="L109" s="6">
        <v>44553.5</v>
      </c>
      <c r="M109" s="11"/>
      <c r="N109" s="11" t="s">
        <v>449</v>
      </c>
    </row>
    <row r="110" spans="1:14" x14ac:dyDescent="0.2">
      <c r="A110" s="7">
        <v>44544</v>
      </c>
      <c r="B110" s="11" t="s">
        <v>169</v>
      </c>
      <c r="C110" s="13" t="s">
        <v>450</v>
      </c>
      <c r="D110" s="11" t="s">
        <v>445</v>
      </c>
      <c r="E110" s="3">
        <v>55</v>
      </c>
      <c r="F110" s="3"/>
      <c r="G110" s="11" t="s">
        <v>196</v>
      </c>
      <c r="H110" s="11" t="s">
        <v>6</v>
      </c>
      <c r="I110" s="11" t="s">
        <v>405</v>
      </c>
      <c r="J110" s="11" t="s">
        <v>370</v>
      </c>
      <c r="K110" s="14" t="s">
        <v>197</v>
      </c>
      <c r="L110" s="6">
        <v>44553.5</v>
      </c>
      <c r="M110" s="11"/>
      <c r="N110" s="11" t="s">
        <v>449</v>
      </c>
    </row>
    <row r="111" spans="1:14" s="2" customFormat="1" x14ac:dyDescent="0.2">
      <c r="A111" s="7">
        <v>44539</v>
      </c>
      <c r="B111" s="11" t="s">
        <v>198</v>
      </c>
      <c r="C111" s="13" t="s">
        <v>458</v>
      </c>
      <c r="D111" s="11" t="s">
        <v>445</v>
      </c>
      <c r="E111" s="3">
        <v>50</v>
      </c>
      <c r="F111" s="3"/>
      <c r="G111" s="11" t="s">
        <v>199</v>
      </c>
      <c r="H111" s="11" t="s">
        <v>6</v>
      </c>
      <c r="I111" s="11" t="s">
        <v>405</v>
      </c>
      <c r="J111" s="11" t="s">
        <v>371</v>
      </c>
      <c r="K111" s="14" t="s">
        <v>200</v>
      </c>
      <c r="L111" s="6">
        <v>44553.625</v>
      </c>
      <c r="M111" s="11" t="s">
        <v>201</v>
      </c>
      <c r="N111" s="11" t="s">
        <v>449</v>
      </c>
    </row>
    <row r="112" spans="1:14" s="2" customFormat="1" x14ac:dyDescent="0.2">
      <c r="A112" s="7">
        <v>44539</v>
      </c>
      <c r="B112" s="11" t="s">
        <v>198</v>
      </c>
      <c r="C112" s="13" t="s">
        <v>458</v>
      </c>
      <c r="D112" s="11" t="s">
        <v>445</v>
      </c>
      <c r="E112" s="3">
        <v>50</v>
      </c>
      <c r="F112" s="3"/>
      <c r="G112" s="11" t="s">
        <v>202</v>
      </c>
      <c r="H112" s="11" t="s">
        <v>6</v>
      </c>
      <c r="I112" s="11" t="s">
        <v>405</v>
      </c>
      <c r="J112" s="11" t="s">
        <v>371</v>
      </c>
      <c r="K112" s="14" t="s">
        <v>200</v>
      </c>
      <c r="L112" s="6">
        <v>44553.625</v>
      </c>
      <c r="M112" s="11" t="s">
        <v>201</v>
      </c>
      <c r="N112" s="11" t="s">
        <v>449</v>
      </c>
    </row>
    <row r="113" spans="1:14" s="2" customFormat="1" x14ac:dyDescent="0.2">
      <c r="A113" s="7">
        <v>44539</v>
      </c>
      <c r="B113" s="11" t="s">
        <v>198</v>
      </c>
      <c r="C113" s="13" t="s">
        <v>458</v>
      </c>
      <c r="D113" s="11" t="s">
        <v>445</v>
      </c>
      <c r="E113" s="3">
        <v>50</v>
      </c>
      <c r="F113" s="3"/>
      <c r="G113" s="11" t="s">
        <v>203</v>
      </c>
      <c r="H113" s="11" t="s">
        <v>6</v>
      </c>
      <c r="I113" s="11" t="s">
        <v>405</v>
      </c>
      <c r="J113" s="11" t="s">
        <v>371</v>
      </c>
      <c r="K113" s="14" t="s">
        <v>200</v>
      </c>
      <c r="L113" s="6">
        <v>44553.625</v>
      </c>
      <c r="M113" s="11" t="s">
        <v>204</v>
      </c>
      <c r="N113" s="11" t="s">
        <v>449</v>
      </c>
    </row>
    <row r="114" spans="1:14" s="2" customFormat="1" x14ac:dyDescent="0.2">
      <c r="A114" s="7">
        <v>44539</v>
      </c>
      <c r="B114" s="11" t="s">
        <v>198</v>
      </c>
      <c r="C114" s="13" t="s">
        <v>458</v>
      </c>
      <c r="D114" s="11" t="s">
        <v>445</v>
      </c>
      <c r="E114" s="3">
        <v>50</v>
      </c>
      <c r="F114" s="3"/>
      <c r="G114" s="11" t="s">
        <v>205</v>
      </c>
      <c r="H114" s="11" t="s">
        <v>6</v>
      </c>
      <c r="I114" s="11" t="s">
        <v>405</v>
      </c>
      <c r="J114" s="11" t="s">
        <v>371</v>
      </c>
      <c r="K114" s="14" t="s">
        <v>200</v>
      </c>
      <c r="L114" s="6">
        <v>44553.625</v>
      </c>
      <c r="M114" s="11" t="s">
        <v>206</v>
      </c>
      <c r="N114" s="11" t="s">
        <v>449</v>
      </c>
    </row>
    <row r="115" spans="1:14" s="2" customFormat="1" x14ac:dyDescent="0.2">
      <c r="A115" s="7">
        <v>44538</v>
      </c>
      <c r="B115" s="11" t="s">
        <v>207</v>
      </c>
      <c r="C115" s="13" t="s">
        <v>441</v>
      </c>
      <c r="D115" s="11" t="s">
        <v>446</v>
      </c>
      <c r="E115" s="3">
        <v>50</v>
      </c>
      <c r="F115" s="3"/>
      <c r="G115" s="11" t="s">
        <v>208</v>
      </c>
      <c r="H115" s="11" t="s">
        <v>4</v>
      </c>
      <c r="I115" s="11" t="s">
        <v>405</v>
      </c>
      <c r="J115" s="11" t="s">
        <v>372</v>
      </c>
      <c r="K115" s="14" t="s">
        <v>209</v>
      </c>
      <c r="L115" s="6">
        <v>44559.5</v>
      </c>
      <c r="M115" s="11"/>
      <c r="N115" s="11" t="s">
        <v>449</v>
      </c>
    </row>
    <row r="116" spans="1:14" x14ac:dyDescent="0.2">
      <c r="A116" s="7">
        <v>44538</v>
      </c>
      <c r="B116" s="11" t="s">
        <v>207</v>
      </c>
      <c r="C116" s="13" t="s">
        <v>441</v>
      </c>
      <c r="D116" s="11" t="s">
        <v>446</v>
      </c>
      <c r="E116" s="3">
        <v>50</v>
      </c>
      <c r="F116" s="3"/>
      <c r="G116" s="11" t="s">
        <v>210</v>
      </c>
      <c r="H116" s="11" t="s">
        <v>4</v>
      </c>
      <c r="I116" s="11" t="s">
        <v>405</v>
      </c>
      <c r="J116" s="11" t="s">
        <v>372</v>
      </c>
      <c r="K116" s="14" t="s">
        <v>209</v>
      </c>
      <c r="L116" s="6">
        <v>44559.5</v>
      </c>
      <c r="M116" s="11"/>
      <c r="N116" s="11" t="s">
        <v>449</v>
      </c>
    </row>
    <row r="117" spans="1:14" x14ac:dyDescent="0.2">
      <c r="A117" s="7">
        <v>44561</v>
      </c>
      <c r="B117" s="11" t="s">
        <v>211</v>
      </c>
      <c r="C117" s="13" t="s">
        <v>441</v>
      </c>
      <c r="D117" s="11" t="s">
        <v>447</v>
      </c>
      <c r="E117" s="3">
        <v>40</v>
      </c>
      <c r="F117" s="11" t="s">
        <v>212</v>
      </c>
      <c r="G117" s="11"/>
      <c r="H117" s="11" t="s">
        <v>6</v>
      </c>
      <c r="I117" s="11" t="s">
        <v>406</v>
      </c>
      <c r="J117" s="11" t="s">
        <v>373</v>
      </c>
      <c r="K117" s="14" t="s">
        <v>213</v>
      </c>
      <c r="L117" s="6">
        <v>44563.375</v>
      </c>
      <c r="M117" s="11" t="s">
        <v>214</v>
      </c>
      <c r="N117" s="11" t="s">
        <v>449</v>
      </c>
    </row>
    <row r="118" spans="1:14" x14ac:dyDescent="0.2">
      <c r="A118" s="7">
        <v>44561</v>
      </c>
      <c r="B118" s="11" t="s">
        <v>211</v>
      </c>
      <c r="C118" s="13" t="s">
        <v>441</v>
      </c>
      <c r="D118" s="11" t="s">
        <v>447</v>
      </c>
      <c r="E118" s="3">
        <v>40</v>
      </c>
      <c r="F118" s="11" t="s">
        <v>215</v>
      </c>
      <c r="G118" s="11"/>
      <c r="H118" s="11" t="s">
        <v>6</v>
      </c>
      <c r="I118" s="11" t="s">
        <v>406</v>
      </c>
      <c r="J118" s="11" t="s">
        <v>373</v>
      </c>
      <c r="K118" s="14" t="s">
        <v>213</v>
      </c>
      <c r="L118" s="6">
        <v>44563.375</v>
      </c>
      <c r="M118" s="11" t="s">
        <v>214</v>
      </c>
      <c r="N118" s="11" t="s">
        <v>449</v>
      </c>
    </row>
    <row r="119" spans="1:14" x14ac:dyDescent="0.2">
      <c r="A119" s="7">
        <v>44561</v>
      </c>
      <c r="B119" s="11" t="s">
        <v>211</v>
      </c>
      <c r="C119" s="13" t="s">
        <v>441</v>
      </c>
      <c r="D119" s="11" t="s">
        <v>447</v>
      </c>
      <c r="E119" s="3">
        <v>40</v>
      </c>
      <c r="F119" s="11" t="s">
        <v>216</v>
      </c>
      <c r="G119" s="11"/>
      <c r="H119" s="11" t="s">
        <v>6</v>
      </c>
      <c r="I119" s="11" t="s">
        <v>406</v>
      </c>
      <c r="J119" s="11" t="s">
        <v>373</v>
      </c>
      <c r="K119" s="14" t="s">
        <v>213</v>
      </c>
      <c r="L119" s="6">
        <v>44563.375</v>
      </c>
      <c r="M119" s="11"/>
      <c r="N119" s="11" t="s">
        <v>449</v>
      </c>
    </row>
    <row r="120" spans="1:14" x14ac:dyDescent="0.2">
      <c r="A120" s="7">
        <v>44561</v>
      </c>
      <c r="B120" s="11" t="s">
        <v>211</v>
      </c>
      <c r="C120" s="13" t="s">
        <v>441</v>
      </c>
      <c r="D120" s="11" t="s">
        <v>447</v>
      </c>
      <c r="E120" s="3">
        <v>40</v>
      </c>
      <c r="F120" s="11" t="s">
        <v>217</v>
      </c>
      <c r="G120" s="11"/>
      <c r="H120" s="11" t="s">
        <v>6</v>
      </c>
      <c r="I120" s="11" t="s">
        <v>406</v>
      </c>
      <c r="J120" s="11" t="s">
        <v>373</v>
      </c>
      <c r="K120" s="14" t="s">
        <v>213</v>
      </c>
      <c r="L120" s="6">
        <v>44563.375</v>
      </c>
      <c r="M120" s="11"/>
      <c r="N120" s="11" t="s">
        <v>449</v>
      </c>
    </row>
    <row r="121" spans="1:14" x14ac:dyDescent="0.2">
      <c r="A121" s="7">
        <v>44561</v>
      </c>
      <c r="B121" s="11" t="s">
        <v>211</v>
      </c>
      <c r="C121" s="13" t="s">
        <v>441</v>
      </c>
      <c r="D121" s="11" t="s">
        <v>447</v>
      </c>
      <c r="E121" s="3">
        <v>40</v>
      </c>
      <c r="F121" s="11" t="s">
        <v>218</v>
      </c>
      <c r="G121" s="11"/>
      <c r="H121" s="11" t="s">
        <v>6</v>
      </c>
      <c r="I121" s="11" t="s">
        <v>406</v>
      </c>
      <c r="J121" s="11" t="s">
        <v>373</v>
      </c>
      <c r="K121" s="14" t="s">
        <v>213</v>
      </c>
      <c r="L121" s="6">
        <v>44563.375</v>
      </c>
      <c r="M121" s="11"/>
      <c r="N121" s="11" t="s">
        <v>449</v>
      </c>
    </row>
    <row r="122" spans="1:14" x14ac:dyDescent="0.2">
      <c r="A122" s="7">
        <v>44561</v>
      </c>
      <c r="B122" s="11" t="s">
        <v>211</v>
      </c>
      <c r="C122" s="13" t="s">
        <v>441</v>
      </c>
      <c r="D122" s="11" t="s">
        <v>447</v>
      </c>
      <c r="E122" s="3">
        <v>40</v>
      </c>
      <c r="F122" s="11" t="s">
        <v>219</v>
      </c>
      <c r="G122" s="11"/>
      <c r="H122" s="11" t="s">
        <v>6</v>
      </c>
      <c r="I122" s="11" t="s">
        <v>406</v>
      </c>
      <c r="J122" s="11" t="s">
        <v>373</v>
      </c>
      <c r="K122" s="14" t="s">
        <v>213</v>
      </c>
      <c r="L122" s="6">
        <v>44563.375</v>
      </c>
      <c r="M122" s="11"/>
      <c r="N122" s="11" t="s">
        <v>449</v>
      </c>
    </row>
    <row r="123" spans="1:14" s="2" customFormat="1" x14ac:dyDescent="0.2">
      <c r="A123" s="7">
        <v>44561</v>
      </c>
      <c r="B123" s="11" t="s">
        <v>211</v>
      </c>
      <c r="C123" s="13" t="s">
        <v>441</v>
      </c>
      <c r="D123" s="11" t="s">
        <v>447</v>
      </c>
      <c r="E123" s="3">
        <v>40</v>
      </c>
      <c r="F123" s="11" t="s">
        <v>220</v>
      </c>
      <c r="G123" s="11"/>
      <c r="H123" s="11" t="s">
        <v>6</v>
      </c>
      <c r="I123" s="11" t="s">
        <v>406</v>
      </c>
      <c r="J123" s="11" t="s">
        <v>373</v>
      </c>
      <c r="K123" s="14" t="s">
        <v>213</v>
      </c>
      <c r="L123" s="6">
        <v>44563.375</v>
      </c>
      <c r="M123" s="11"/>
      <c r="N123" s="11" t="s">
        <v>449</v>
      </c>
    </row>
    <row r="124" spans="1:14" s="2" customFormat="1" x14ac:dyDescent="0.2">
      <c r="A124" s="7">
        <v>44512</v>
      </c>
      <c r="B124" s="11" t="s">
        <v>221</v>
      </c>
      <c r="C124" s="13" t="s">
        <v>455</v>
      </c>
      <c r="D124" s="11" t="s">
        <v>446</v>
      </c>
      <c r="E124" s="3">
        <v>230</v>
      </c>
      <c r="F124" s="3"/>
      <c r="G124" s="11" t="s">
        <v>222</v>
      </c>
      <c r="H124" s="11" t="s">
        <v>6</v>
      </c>
      <c r="I124" s="11" t="s">
        <v>405</v>
      </c>
      <c r="J124" s="11" t="s">
        <v>374</v>
      </c>
      <c r="K124" s="14" t="s">
        <v>223</v>
      </c>
      <c r="L124" s="6">
        <v>44566.291666666664</v>
      </c>
      <c r="M124" s="11"/>
      <c r="N124" s="11" t="s">
        <v>449</v>
      </c>
    </row>
    <row r="125" spans="1:14" x14ac:dyDescent="0.2">
      <c r="A125" s="7">
        <v>44512</v>
      </c>
      <c r="B125" s="11" t="s">
        <v>221</v>
      </c>
      <c r="C125" s="13" t="s">
        <v>455</v>
      </c>
      <c r="D125" s="11" t="s">
        <v>446</v>
      </c>
      <c r="E125" s="3">
        <v>230</v>
      </c>
      <c r="F125" s="3"/>
      <c r="G125" s="11" t="s">
        <v>224</v>
      </c>
      <c r="H125" s="11" t="s">
        <v>6</v>
      </c>
      <c r="I125" s="11" t="s">
        <v>405</v>
      </c>
      <c r="J125" s="11" t="s">
        <v>374</v>
      </c>
      <c r="K125" s="14" t="s">
        <v>223</v>
      </c>
      <c r="L125" s="6">
        <v>44566.291666666664</v>
      </c>
      <c r="M125" s="11"/>
      <c r="N125" s="11" t="s">
        <v>449</v>
      </c>
    </row>
    <row r="126" spans="1:14" x14ac:dyDescent="0.2">
      <c r="A126" s="7">
        <v>44512</v>
      </c>
      <c r="B126" s="11" t="s">
        <v>221</v>
      </c>
      <c r="C126" s="13" t="s">
        <v>454</v>
      </c>
      <c r="D126" s="11" t="s">
        <v>446</v>
      </c>
      <c r="E126" s="3">
        <v>300</v>
      </c>
      <c r="F126" s="3"/>
      <c r="G126" s="11" t="s">
        <v>225</v>
      </c>
      <c r="H126" s="11" t="s">
        <v>6</v>
      </c>
      <c r="I126" s="11" t="s">
        <v>405</v>
      </c>
      <c r="J126" s="11" t="s">
        <v>374</v>
      </c>
      <c r="K126" s="14" t="s">
        <v>223</v>
      </c>
      <c r="L126" s="6">
        <v>44566.291666666664</v>
      </c>
      <c r="M126" s="11"/>
      <c r="N126" s="11" t="s">
        <v>449</v>
      </c>
    </row>
    <row r="127" spans="1:14" s="2" customFormat="1" x14ac:dyDescent="0.2">
      <c r="A127" s="7">
        <v>44512</v>
      </c>
      <c r="B127" s="11" t="s">
        <v>221</v>
      </c>
      <c r="C127" s="13" t="s">
        <v>455</v>
      </c>
      <c r="D127" s="11" t="s">
        <v>445</v>
      </c>
      <c r="E127" s="3">
        <v>50</v>
      </c>
      <c r="F127" s="3"/>
      <c r="G127" s="11" t="s">
        <v>226</v>
      </c>
      <c r="H127" s="11" t="s">
        <v>6</v>
      </c>
      <c r="I127" s="11" t="s">
        <v>405</v>
      </c>
      <c r="J127" s="11" t="s">
        <v>374</v>
      </c>
      <c r="K127" s="14" t="s">
        <v>223</v>
      </c>
      <c r="L127" s="6">
        <v>44566.291666666664</v>
      </c>
      <c r="M127" s="11"/>
      <c r="N127" s="11" t="s">
        <v>449</v>
      </c>
    </row>
    <row r="128" spans="1:14" s="2" customFormat="1" x14ac:dyDescent="0.2">
      <c r="A128" s="7">
        <v>44515</v>
      </c>
      <c r="B128" s="11" t="s">
        <v>227</v>
      </c>
      <c r="C128" s="16" t="s">
        <v>441</v>
      </c>
      <c r="D128" s="11" t="s">
        <v>446</v>
      </c>
      <c r="E128" s="3">
        <v>50</v>
      </c>
      <c r="F128" s="3"/>
      <c r="G128" s="11" t="s">
        <v>228</v>
      </c>
      <c r="H128" s="11" t="s">
        <v>6</v>
      </c>
      <c r="I128" s="11" t="s">
        <v>405</v>
      </c>
      <c r="J128" s="11" t="s">
        <v>375</v>
      </c>
      <c r="K128" s="14" t="s">
        <v>229</v>
      </c>
      <c r="L128" s="6">
        <v>44568.416666666664</v>
      </c>
      <c r="M128" s="11"/>
      <c r="N128" s="11" t="s">
        <v>449</v>
      </c>
    </row>
    <row r="129" spans="1:14" s="2" customFormat="1" x14ac:dyDescent="0.2">
      <c r="A129" s="7">
        <v>44515</v>
      </c>
      <c r="B129" s="11" t="s">
        <v>227</v>
      </c>
      <c r="C129" s="16" t="s">
        <v>441</v>
      </c>
      <c r="D129" s="11" t="s">
        <v>446</v>
      </c>
      <c r="E129" s="3">
        <v>50</v>
      </c>
      <c r="F129" s="3"/>
      <c r="G129" s="11" t="s">
        <v>230</v>
      </c>
      <c r="H129" s="11" t="s">
        <v>6</v>
      </c>
      <c r="I129" s="11" t="s">
        <v>405</v>
      </c>
      <c r="J129" s="11" t="s">
        <v>375</v>
      </c>
      <c r="K129" s="14" t="s">
        <v>229</v>
      </c>
      <c r="L129" s="6">
        <v>44568.416666666664</v>
      </c>
      <c r="M129" s="11"/>
      <c r="N129" s="11" t="s">
        <v>449</v>
      </c>
    </row>
    <row r="130" spans="1:14" s="2" customFormat="1" x14ac:dyDescent="0.2">
      <c r="A130" s="22">
        <v>44565</v>
      </c>
      <c r="B130" s="17" t="s">
        <v>231</v>
      </c>
      <c r="C130" s="13" t="s">
        <v>441</v>
      </c>
      <c r="D130" s="11" t="s">
        <v>447</v>
      </c>
      <c r="E130" s="3">
        <v>30</v>
      </c>
      <c r="F130" s="4" t="s">
        <v>415</v>
      </c>
      <c r="G130" s="17"/>
      <c r="H130" s="17" t="s">
        <v>4</v>
      </c>
      <c r="I130" s="11" t="s">
        <v>406</v>
      </c>
      <c r="J130" s="11" t="s">
        <v>376</v>
      </c>
      <c r="K130" s="24" t="s">
        <v>232</v>
      </c>
      <c r="L130" s="8">
        <v>44568.541666666664</v>
      </c>
      <c r="M130" s="17"/>
      <c r="N130" s="11" t="s">
        <v>449</v>
      </c>
    </row>
    <row r="131" spans="1:14" s="2" customFormat="1" x14ac:dyDescent="0.2">
      <c r="A131" s="7">
        <v>44565</v>
      </c>
      <c r="B131" s="11" t="s">
        <v>231</v>
      </c>
      <c r="C131" s="13" t="s">
        <v>441</v>
      </c>
      <c r="D131" s="11" t="s">
        <v>447</v>
      </c>
      <c r="E131" s="3">
        <v>30</v>
      </c>
      <c r="F131" s="3" t="s">
        <v>417</v>
      </c>
      <c r="G131" s="11"/>
      <c r="H131" s="11" t="s">
        <v>4</v>
      </c>
      <c r="I131" s="11" t="s">
        <v>406</v>
      </c>
      <c r="J131" s="11" t="s">
        <v>376</v>
      </c>
      <c r="K131" s="14" t="s">
        <v>232</v>
      </c>
      <c r="L131" s="6">
        <v>44568.541666666664</v>
      </c>
      <c r="M131" s="11"/>
      <c r="N131" s="11" t="s">
        <v>449</v>
      </c>
    </row>
    <row r="132" spans="1:14" s="2" customFormat="1" x14ac:dyDescent="0.2">
      <c r="A132" s="22">
        <v>44565</v>
      </c>
      <c r="B132" s="17" t="s">
        <v>231</v>
      </c>
      <c r="C132" s="23" t="s">
        <v>441</v>
      </c>
      <c r="D132" s="11" t="s">
        <v>446</v>
      </c>
      <c r="E132" s="4">
        <v>50</v>
      </c>
      <c r="F132" s="4"/>
      <c r="G132" s="17" t="s">
        <v>414</v>
      </c>
      <c r="H132" s="17" t="s">
        <v>4</v>
      </c>
      <c r="I132" s="11" t="s">
        <v>406</v>
      </c>
      <c r="J132" s="17" t="s">
        <v>376</v>
      </c>
      <c r="K132" s="24" t="s">
        <v>232</v>
      </c>
      <c r="L132" s="8">
        <v>44568.541666666664</v>
      </c>
      <c r="M132" s="17"/>
      <c r="N132" s="11" t="s">
        <v>449</v>
      </c>
    </row>
    <row r="133" spans="1:14" s="2" customFormat="1" x14ac:dyDescent="0.2">
      <c r="A133" s="7">
        <v>44565</v>
      </c>
      <c r="B133" s="11" t="s">
        <v>231</v>
      </c>
      <c r="C133" s="13" t="s">
        <v>441</v>
      </c>
      <c r="D133" s="11" t="s">
        <v>446</v>
      </c>
      <c r="E133" s="3">
        <v>50</v>
      </c>
      <c r="F133" s="3"/>
      <c r="G133" s="11" t="s">
        <v>416</v>
      </c>
      <c r="H133" s="11" t="s">
        <v>4</v>
      </c>
      <c r="I133" s="11" t="s">
        <v>406</v>
      </c>
      <c r="J133" s="17" t="s">
        <v>376</v>
      </c>
      <c r="K133" s="14" t="s">
        <v>232</v>
      </c>
      <c r="L133" s="6">
        <v>44568.541666666664</v>
      </c>
      <c r="M133" s="11"/>
      <c r="N133" s="11" t="s">
        <v>449</v>
      </c>
    </row>
    <row r="134" spans="1:14" s="2" customFormat="1" x14ac:dyDescent="0.2">
      <c r="A134" s="7">
        <v>44552</v>
      </c>
      <c r="B134" s="15" t="s">
        <v>23</v>
      </c>
      <c r="C134" s="16" t="s">
        <v>441</v>
      </c>
      <c r="D134" s="11" t="s">
        <v>446</v>
      </c>
      <c r="E134" s="3">
        <v>50</v>
      </c>
      <c r="F134" s="3"/>
      <c r="G134" s="11" t="s">
        <v>233</v>
      </c>
      <c r="H134" s="11" t="s">
        <v>6</v>
      </c>
      <c r="I134" s="11" t="s">
        <v>405</v>
      </c>
      <c r="J134" s="11" t="s">
        <v>25</v>
      </c>
      <c r="K134" s="14" t="s">
        <v>26</v>
      </c>
      <c r="L134" s="6">
        <v>44568.75</v>
      </c>
      <c r="M134" s="11"/>
      <c r="N134" s="11" t="s">
        <v>449</v>
      </c>
    </row>
    <row r="135" spans="1:14" s="2" customFormat="1" x14ac:dyDescent="0.2">
      <c r="A135" s="25">
        <v>44553</v>
      </c>
      <c r="B135" s="26" t="s">
        <v>234</v>
      </c>
      <c r="C135" s="27" t="s">
        <v>441</v>
      </c>
      <c r="D135" s="11" t="s">
        <v>446</v>
      </c>
      <c r="E135" s="5">
        <v>50</v>
      </c>
      <c r="F135" s="5"/>
      <c r="G135" s="26" t="s">
        <v>235</v>
      </c>
      <c r="H135" s="26" t="s">
        <v>6</v>
      </c>
      <c r="I135" s="11" t="s">
        <v>405</v>
      </c>
      <c r="J135" s="11" t="s">
        <v>377</v>
      </c>
      <c r="K135" s="28" t="s">
        <v>236</v>
      </c>
      <c r="L135" s="9">
        <v>44569.395833333336</v>
      </c>
      <c r="M135" s="26"/>
      <c r="N135" s="11" t="s">
        <v>449</v>
      </c>
    </row>
    <row r="136" spans="1:14" s="2" customFormat="1" x14ac:dyDescent="0.2">
      <c r="A136" s="7">
        <v>44553</v>
      </c>
      <c r="B136" s="11" t="s">
        <v>234</v>
      </c>
      <c r="C136" s="13" t="s">
        <v>441</v>
      </c>
      <c r="D136" s="11" t="s">
        <v>446</v>
      </c>
      <c r="E136" s="3">
        <v>50</v>
      </c>
      <c r="F136" s="3"/>
      <c r="G136" s="11" t="s">
        <v>237</v>
      </c>
      <c r="H136" s="11" t="s">
        <v>6</v>
      </c>
      <c r="I136" s="11" t="s">
        <v>405</v>
      </c>
      <c r="J136" s="11" t="s">
        <v>377</v>
      </c>
      <c r="K136" s="14" t="s">
        <v>236</v>
      </c>
      <c r="L136" s="6">
        <v>44569.395833333336</v>
      </c>
      <c r="M136" s="11"/>
      <c r="N136" s="11" t="s">
        <v>449</v>
      </c>
    </row>
    <row r="137" spans="1:14" s="2" customFormat="1" x14ac:dyDescent="0.2">
      <c r="A137" s="7">
        <v>44561</v>
      </c>
      <c r="B137" s="11" t="s">
        <v>238</v>
      </c>
      <c r="C137" s="16" t="s">
        <v>441</v>
      </c>
      <c r="D137" s="11" t="s">
        <v>446</v>
      </c>
      <c r="E137" s="3">
        <v>50</v>
      </c>
      <c r="F137" s="3"/>
      <c r="G137" s="11" t="s">
        <v>239</v>
      </c>
      <c r="H137" s="11" t="s">
        <v>6</v>
      </c>
      <c r="I137" s="11" t="s">
        <v>405</v>
      </c>
      <c r="J137" s="11" t="s">
        <v>378</v>
      </c>
      <c r="K137" s="14" t="s">
        <v>240</v>
      </c>
      <c r="L137" s="6">
        <v>44569.541666666664</v>
      </c>
      <c r="M137" s="11"/>
      <c r="N137" s="11" t="s">
        <v>449</v>
      </c>
    </row>
    <row r="138" spans="1:14" s="2" customFormat="1" x14ac:dyDescent="0.2">
      <c r="A138" s="7">
        <v>44561</v>
      </c>
      <c r="B138" s="11" t="s">
        <v>238</v>
      </c>
      <c r="C138" s="16" t="s">
        <v>441</v>
      </c>
      <c r="D138" s="11" t="s">
        <v>446</v>
      </c>
      <c r="E138" s="3">
        <v>50</v>
      </c>
      <c r="F138" s="3"/>
      <c r="G138" s="11" t="s">
        <v>241</v>
      </c>
      <c r="H138" s="11" t="s">
        <v>6</v>
      </c>
      <c r="I138" s="11" t="s">
        <v>405</v>
      </c>
      <c r="J138" s="11" t="s">
        <v>378</v>
      </c>
      <c r="K138" s="14" t="s">
        <v>240</v>
      </c>
      <c r="L138" s="6">
        <v>44569.541666666664</v>
      </c>
      <c r="M138" s="11"/>
      <c r="N138" s="11" t="s">
        <v>449</v>
      </c>
    </row>
    <row r="139" spans="1:14" ht="16" x14ac:dyDescent="0.2">
      <c r="A139" s="7">
        <v>44512</v>
      </c>
      <c r="B139" s="11" t="s">
        <v>227</v>
      </c>
      <c r="C139" s="13" t="s">
        <v>441</v>
      </c>
      <c r="D139" s="11" t="s">
        <v>445</v>
      </c>
      <c r="E139" s="3">
        <v>50</v>
      </c>
      <c r="F139" s="3"/>
      <c r="G139" s="11" t="s">
        <v>242</v>
      </c>
      <c r="H139" s="11" t="s">
        <v>6</v>
      </c>
      <c r="I139" s="11" t="s">
        <v>405</v>
      </c>
      <c r="J139" s="19" t="s">
        <v>379</v>
      </c>
      <c r="K139" s="14" t="s">
        <v>243</v>
      </c>
      <c r="L139" s="6">
        <v>44571.5</v>
      </c>
      <c r="M139" s="11"/>
      <c r="N139" s="11" t="s">
        <v>449</v>
      </c>
    </row>
    <row r="140" spans="1:14" x14ac:dyDescent="0.2">
      <c r="A140" s="7">
        <v>44519</v>
      </c>
      <c r="B140" s="11" t="s">
        <v>244</v>
      </c>
      <c r="C140" s="16" t="s">
        <v>441</v>
      </c>
      <c r="D140" s="11" t="s">
        <v>446</v>
      </c>
      <c r="E140" s="3">
        <v>50</v>
      </c>
      <c r="F140" s="3"/>
      <c r="G140" s="11" t="s">
        <v>245</v>
      </c>
      <c r="H140" s="11" t="s">
        <v>4</v>
      </c>
      <c r="I140" s="11" t="s">
        <v>405</v>
      </c>
      <c r="J140" s="11" t="s">
        <v>380</v>
      </c>
      <c r="K140" s="14" t="s">
        <v>246</v>
      </c>
      <c r="L140" s="6">
        <v>44571.541666666664</v>
      </c>
      <c r="M140" s="11"/>
      <c r="N140" s="11" t="s">
        <v>449</v>
      </c>
    </row>
    <row r="141" spans="1:14" x14ac:dyDescent="0.2">
      <c r="A141" s="7">
        <v>44519</v>
      </c>
      <c r="B141" s="11" t="s">
        <v>244</v>
      </c>
      <c r="C141" s="16" t="s">
        <v>441</v>
      </c>
      <c r="D141" s="11" t="s">
        <v>446</v>
      </c>
      <c r="E141" s="3">
        <v>50</v>
      </c>
      <c r="F141" s="3"/>
      <c r="G141" s="11" t="s">
        <v>247</v>
      </c>
      <c r="H141" s="11" t="s">
        <v>4</v>
      </c>
      <c r="I141" s="11" t="s">
        <v>405</v>
      </c>
      <c r="J141" s="11" t="s">
        <v>380</v>
      </c>
      <c r="K141" s="14" t="s">
        <v>246</v>
      </c>
      <c r="L141" s="6">
        <v>44571.541666666664</v>
      </c>
      <c r="M141" s="11"/>
      <c r="N141" s="11" t="s">
        <v>449</v>
      </c>
    </row>
    <row r="142" spans="1:14" s="2" customFormat="1" x14ac:dyDescent="0.2">
      <c r="A142" s="7">
        <v>44519</v>
      </c>
      <c r="B142" s="11" t="s">
        <v>244</v>
      </c>
      <c r="C142" s="16" t="s">
        <v>441</v>
      </c>
      <c r="D142" s="11" t="s">
        <v>446</v>
      </c>
      <c r="E142" s="3">
        <v>50</v>
      </c>
      <c r="F142" s="3"/>
      <c r="G142" s="11" t="s">
        <v>248</v>
      </c>
      <c r="H142" s="11" t="s">
        <v>4</v>
      </c>
      <c r="I142" s="11" t="s">
        <v>405</v>
      </c>
      <c r="J142" s="11" t="s">
        <v>380</v>
      </c>
      <c r="K142" s="14" t="s">
        <v>246</v>
      </c>
      <c r="L142" s="6">
        <v>44571.541666666664</v>
      </c>
      <c r="M142" s="11"/>
      <c r="N142" s="11" t="s">
        <v>449</v>
      </c>
    </row>
    <row r="143" spans="1:14" s="2" customFormat="1" x14ac:dyDescent="0.2">
      <c r="A143" s="7">
        <v>44519</v>
      </c>
      <c r="B143" s="11" t="s">
        <v>244</v>
      </c>
      <c r="C143" s="16" t="s">
        <v>441</v>
      </c>
      <c r="D143" s="11" t="s">
        <v>446</v>
      </c>
      <c r="E143" s="3">
        <v>50</v>
      </c>
      <c r="F143" s="3"/>
      <c r="G143" s="11" t="s">
        <v>249</v>
      </c>
      <c r="H143" s="11" t="s">
        <v>4</v>
      </c>
      <c r="I143" s="11" t="s">
        <v>405</v>
      </c>
      <c r="J143" s="11" t="s">
        <v>380</v>
      </c>
      <c r="K143" s="14" t="s">
        <v>246</v>
      </c>
      <c r="L143" s="6">
        <v>44571.541666666664</v>
      </c>
      <c r="M143" s="11"/>
      <c r="N143" s="11" t="s">
        <v>449</v>
      </c>
    </row>
    <row r="144" spans="1:14" s="2" customFormat="1" x14ac:dyDescent="0.2">
      <c r="A144" s="7">
        <v>44538</v>
      </c>
      <c r="B144" s="11" t="s">
        <v>250</v>
      </c>
      <c r="C144" s="13" t="s">
        <v>441</v>
      </c>
      <c r="D144" s="11" t="s">
        <v>446</v>
      </c>
      <c r="E144" s="3">
        <v>50</v>
      </c>
      <c r="F144" s="3"/>
      <c r="G144" s="11" t="s">
        <v>251</v>
      </c>
      <c r="H144" s="11" t="s">
        <v>6</v>
      </c>
      <c r="I144" s="11" t="s">
        <v>405</v>
      </c>
      <c r="J144" s="11" t="s">
        <v>381</v>
      </c>
      <c r="K144" s="14" t="s">
        <v>252</v>
      </c>
      <c r="L144" s="6">
        <v>44573.25</v>
      </c>
      <c r="M144" s="11"/>
      <c r="N144" s="11" t="s">
        <v>449</v>
      </c>
    </row>
    <row r="145" spans="1:14" s="2" customFormat="1" x14ac:dyDescent="0.2">
      <c r="A145" s="7">
        <v>44538</v>
      </c>
      <c r="B145" s="11" t="s">
        <v>250</v>
      </c>
      <c r="C145" s="13" t="s">
        <v>441</v>
      </c>
      <c r="D145" s="11" t="s">
        <v>446</v>
      </c>
      <c r="E145" s="3">
        <v>50</v>
      </c>
      <c r="F145" s="3"/>
      <c r="G145" s="11" t="s">
        <v>253</v>
      </c>
      <c r="H145" s="11" t="s">
        <v>6</v>
      </c>
      <c r="I145" s="11" t="s">
        <v>405</v>
      </c>
      <c r="J145" s="11" t="s">
        <v>381</v>
      </c>
      <c r="K145" s="14" t="s">
        <v>252</v>
      </c>
      <c r="L145" s="6">
        <v>44573.25</v>
      </c>
      <c r="M145" s="11"/>
      <c r="N145" s="11" t="s">
        <v>449</v>
      </c>
    </row>
    <row r="146" spans="1:14" s="2" customFormat="1" x14ac:dyDescent="0.2">
      <c r="A146" s="7">
        <v>44538</v>
      </c>
      <c r="B146" s="11" t="s">
        <v>250</v>
      </c>
      <c r="C146" s="13" t="s">
        <v>441</v>
      </c>
      <c r="D146" s="11" t="s">
        <v>446</v>
      </c>
      <c r="E146" s="3">
        <v>50</v>
      </c>
      <c r="F146" s="3"/>
      <c r="G146" s="11" t="s">
        <v>254</v>
      </c>
      <c r="H146" s="11" t="s">
        <v>6</v>
      </c>
      <c r="I146" s="11" t="s">
        <v>405</v>
      </c>
      <c r="J146" s="11" t="s">
        <v>381</v>
      </c>
      <c r="K146" s="14" t="s">
        <v>252</v>
      </c>
      <c r="L146" s="6">
        <v>44573.25</v>
      </c>
      <c r="M146" s="11"/>
      <c r="N146" s="11" t="s">
        <v>449</v>
      </c>
    </row>
    <row r="147" spans="1:14" s="2" customFormat="1" x14ac:dyDescent="0.2">
      <c r="A147" s="7">
        <v>44538</v>
      </c>
      <c r="B147" s="11" t="s">
        <v>250</v>
      </c>
      <c r="C147" s="13" t="s">
        <v>441</v>
      </c>
      <c r="D147" s="11" t="s">
        <v>446</v>
      </c>
      <c r="E147" s="3">
        <v>50</v>
      </c>
      <c r="F147" s="3"/>
      <c r="G147" s="11" t="s">
        <v>255</v>
      </c>
      <c r="H147" s="11" t="s">
        <v>6</v>
      </c>
      <c r="I147" s="11" t="s">
        <v>405</v>
      </c>
      <c r="J147" s="11" t="s">
        <v>381</v>
      </c>
      <c r="K147" s="14" t="s">
        <v>252</v>
      </c>
      <c r="L147" s="6">
        <v>44573.25</v>
      </c>
      <c r="M147" s="11"/>
      <c r="N147" s="11" t="s">
        <v>449</v>
      </c>
    </row>
    <row r="148" spans="1:14" s="2" customFormat="1" x14ac:dyDescent="0.2">
      <c r="A148" s="7">
        <v>44538</v>
      </c>
      <c r="B148" s="11" t="s">
        <v>250</v>
      </c>
      <c r="C148" s="13" t="s">
        <v>441</v>
      </c>
      <c r="D148" s="11" t="s">
        <v>446</v>
      </c>
      <c r="E148" s="3">
        <v>50</v>
      </c>
      <c r="F148" s="3"/>
      <c r="G148" s="11" t="s">
        <v>256</v>
      </c>
      <c r="H148" s="11" t="s">
        <v>6</v>
      </c>
      <c r="I148" s="11" t="s">
        <v>405</v>
      </c>
      <c r="J148" s="11" t="s">
        <v>381</v>
      </c>
      <c r="K148" s="14" t="s">
        <v>252</v>
      </c>
      <c r="L148" s="6">
        <v>44573.25</v>
      </c>
      <c r="M148" s="11"/>
      <c r="N148" s="11" t="s">
        <v>449</v>
      </c>
    </row>
    <row r="149" spans="1:14" s="2" customFormat="1" x14ac:dyDescent="0.2">
      <c r="A149" s="7">
        <v>44566</v>
      </c>
      <c r="B149" s="11" t="s">
        <v>257</v>
      </c>
      <c r="C149" s="13" t="s">
        <v>441</v>
      </c>
      <c r="D149" s="11" t="s">
        <v>445</v>
      </c>
      <c r="E149" s="3">
        <v>50</v>
      </c>
      <c r="F149" s="3"/>
      <c r="G149" s="11" t="s">
        <v>258</v>
      </c>
      <c r="H149" s="11" t="s">
        <v>4</v>
      </c>
      <c r="I149" s="11" t="s">
        <v>405</v>
      </c>
      <c r="J149" s="11" t="s">
        <v>382</v>
      </c>
      <c r="K149" s="14" t="s">
        <v>259</v>
      </c>
      <c r="L149" s="6">
        <v>44573.583333333336</v>
      </c>
      <c r="M149" s="11" t="s">
        <v>438</v>
      </c>
      <c r="N149" s="11" t="s">
        <v>449</v>
      </c>
    </row>
    <row r="150" spans="1:14" s="2" customFormat="1" x14ac:dyDescent="0.2">
      <c r="A150" s="7">
        <v>44540</v>
      </c>
      <c r="B150" s="11" t="s">
        <v>169</v>
      </c>
      <c r="C150" s="13" t="s">
        <v>450</v>
      </c>
      <c r="D150" s="11" t="s">
        <v>445</v>
      </c>
      <c r="E150" s="3">
        <v>55</v>
      </c>
      <c r="F150" s="3"/>
      <c r="G150" s="15" t="s">
        <v>260</v>
      </c>
      <c r="H150" s="11" t="s">
        <v>4</v>
      </c>
      <c r="I150" s="11" t="s">
        <v>405</v>
      </c>
      <c r="J150" s="11" t="s">
        <v>383</v>
      </c>
      <c r="K150" s="14" t="s">
        <v>261</v>
      </c>
      <c r="L150" s="6">
        <v>44573.666666666664</v>
      </c>
      <c r="M150" s="11"/>
      <c r="N150" s="11" t="s">
        <v>449</v>
      </c>
    </row>
    <row r="151" spans="1:14" s="2" customFormat="1" x14ac:dyDescent="0.2">
      <c r="A151" s="7">
        <v>44566</v>
      </c>
      <c r="B151" s="11" t="s">
        <v>262</v>
      </c>
      <c r="C151" s="13" t="s">
        <v>441</v>
      </c>
      <c r="D151" s="11" t="s">
        <v>445</v>
      </c>
      <c r="E151" s="3">
        <v>50</v>
      </c>
      <c r="F151" s="3"/>
      <c r="G151" s="11" t="s">
        <v>263</v>
      </c>
      <c r="H151" s="11" t="s">
        <v>4</v>
      </c>
      <c r="I151" s="11" t="s">
        <v>405</v>
      </c>
      <c r="J151" s="11" t="s">
        <v>384</v>
      </c>
      <c r="K151" s="14" t="s">
        <v>264</v>
      </c>
      <c r="L151" s="6">
        <v>44573.791666666664</v>
      </c>
      <c r="M151" s="11" t="s">
        <v>438</v>
      </c>
      <c r="N151" s="11" t="s">
        <v>449</v>
      </c>
    </row>
    <row r="152" spans="1:14" s="2" customFormat="1" ht="16" x14ac:dyDescent="0.2">
      <c r="A152" s="7">
        <v>44512</v>
      </c>
      <c r="B152" s="11" t="s">
        <v>227</v>
      </c>
      <c r="C152" s="13" t="s">
        <v>441</v>
      </c>
      <c r="D152" s="11" t="s">
        <v>446</v>
      </c>
      <c r="E152" s="3">
        <v>50</v>
      </c>
      <c r="F152" s="3"/>
      <c r="G152" s="11" t="s">
        <v>265</v>
      </c>
      <c r="H152" s="11" t="s">
        <v>6</v>
      </c>
      <c r="I152" s="11" t="s">
        <v>405</v>
      </c>
      <c r="J152" s="19" t="s">
        <v>266</v>
      </c>
      <c r="K152" s="14"/>
      <c r="L152" s="6">
        <v>44574.25</v>
      </c>
      <c r="M152" s="11"/>
      <c r="N152" s="11" t="s">
        <v>449</v>
      </c>
    </row>
    <row r="153" spans="1:14" s="2" customFormat="1" ht="16" x14ac:dyDescent="0.2">
      <c r="A153" s="7">
        <v>44512</v>
      </c>
      <c r="B153" s="11" t="s">
        <v>227</v>
      </c>
      <c r="C153" s="13" t="s">
        <v>441</v>
      </c>
      <c r="D153" s="11" t="s">
        <v>445</v>
      </c>
      <c r="E153" s="3">
        <v>50</v>
      </c>
      <c r="F153" s="3"/>
      <c r="G153" s="11" t="s">
        <v>267</v>
      </c>
      <c r="H153" s="11" t="s">
        <v>6</v>
      </c>
      <c r="I153" s="11" t="s">
        <v>405</v>
      </c>
      <c r="J153" s="19" t="s">
        <v>379</v>
      </c>
      <c r="K153" s="14" t="s">
        <v>268</v>
      </c>
      <c r="L153" s="6">
        <v>44574.333333333336</v>
      </c>
      <c r="M153" s="11"/>
      <c r="N153" s="11" t="s">
        <v>449</v>
      </c>
    </row>
    <row r="154" spans="1:14" ht="16" x14ac:dyDescent="0.2">
      <c r="A154" s="7">
        <v>44512</v>
      </c>
      <c r="B154" s="11" t="s">
        <v>227</v>
      </c>
      <c r="C154" s="13" t="s">
        <v>441</v>
      </c>
      <c r="D154" s="11" t="s">
        <v>446</v>
      </c>
      <c r="E154" s="3">
        <v>50</v>
      </c>
      <c r="F154" s="3"/>
      <c r="G154" s="11" t="s">
        <v>269</v>
      </c>
      <c r="H154" s="11" t="s">
        <v>6</v>
      </c>
      <c r="I154" s="11" t="s">
        <v>405</v>
      </c>
      <c r="J154" s="19" t="s">
        <v>379</v>
      </c>
      <c r="K154" s="14" t="s">
        <v>229</v>
      </c>
      <c r="L154" s="6">
        <v>44574.333333333336</v>
      </c>
      <c r="M154" s="11" t="s">
        <v>270</v>
      </c>
      <c r="N154" s="11" t="s">
        <v>449</v>
      </c>
    </row>
    <row r="155" spans="1:14" x14ac:dyDescent="0.2">
      <c r="A155" s="7">
        <v>44572</v>
      </c>
      <c r="B155" s="11" t="s">
        <v>5</v>
      </c>
      <c r="C155" s="13" t="s">
        <v>451</v>
      </c>
      <c r="D155" s="11" t="s">
        <v>447</v>
      </c>
      <c r="E155" s="3">
        <v>30</v>
      </c>
      <c r="F155" s="3" t="s">
        <v>419</v>
      </c>
      <c r="G155" s="11"/>
      <c r="H155" s="11" t="s">
        <v>6</v>
      </c>
      <c r="I155" s="11" t="s">
        <v>406</v>
      </c>
      <c r="J155" s="11" t="s">
        <v>365</v>
      </c>
      <c r="K155" s="14" t="s">
        <v>19</v>
      </c>
      <c r="L155" s="6">
        <v>44574.5</v>
      </c>
      <c r="M155" s="11"/>
      <c r="N155" s="11" t="s">
        <v>449</v>
      </c>
    </row>
    <row r="156" spans="1:14" x14ac:dyDescent="0.2">
      <c r="A156" s="7">
        <v>44572</v>
      </c>
      <c r="B156" s="11" t="s">
        <v>5</v>
      </c>
      <c r="C156" s="13" t="s">
        <v>451</v>
      </c>
      <c r="D156" s="11" t="s">
        <v>447</v>
      </c>
      <c r="E156" s="3">
        <v>30</v>
      </c>
      <c r="F156" s="3" t="s">
        <v>8</v>
      </c>
      <c r="G156" s="11"/>
      <c r="H156" s="11" t="s">
        <v>6</v>
      </c>
      <c r="I156" s="11" t="s">
        <v>406</v>
      </c>
      <c r="J156" s="11" t="s">
        <v>365</v>
      </c>
      <c r="K156" s="14" t="s">
        <v>19</v>
      </c>
      <c r="L156" s="6">
        <v>44574.5</v>
      </c>
      <c r="M156" s="11"/>
      <c r="N156" s="11" t="s">
        <v>449</v>
      </c>
    </row>
    <row r="157" spans="1:14" x14ac:dyDescent="0.2">
      <c r="A157" s="7">
        <v>44572</v>
      </c>
      <c r="B157" s="11" t="s">
        <v>5</v>
      </c>
      <c r="C157" s="13" t="s">
        <v>451</v>
      </c>
      <c r="D157" s="11" t="s">
        <v>446</v>
      </c>
      <c r="E157" s="3">
        <v>55</v>
      </c>
      <c r="F157" s="3"/>
      <c r="G157" s="11" t="s">
        <v>271</v>
      </c>
      <c r="H157" s="11" t="s">
        <v>6</v>
      </c>
      <c r="I157" s="11" t="s">
        <v>405</v>
      </c>
      <c r="J157" s="11" t="s">
        <v>365</v>
      </c>
      <c r="K157" s="14" t="s">
        <v>19</v>
      </c>
      <c r="L157" s="6">
        <v>44574.5</v>
      </c>
      <c r="M157" s="11"/>
      <c r="N157" s="11" t="s">
        <v>449</v>
      </c>
    </row>
    <row r="158" spans="1:14" x14ac:dyDescent="0.2">
      <c r="A158" s="7">
        <v>44572</v>
      </c>
      <c r="B158" s="11" t="s">
        <v>5</v>
      </c>
      <c r="C158" s="13" t="s">
        <v>451</v>
      </c>
      <c r="D158" s="11" t="s">
        <v>446</v>
      </c>
      <c r="E158" s="3">
        <v>55</v>
      </c>
      <c r="F158" s="3"/>
      <c r="G158" s="11" t="s">
        <v>418</v>
      </c>
      <c r="H158" s="11" t="s">
        <v>6</v>
      </c>
      <c r="I158" s="11" t="s">
        <v>406</v>
      </c>
      <c r="J158" s="11" t="s">
        <v>365</v>
      </c>
      <c r="K158" s="14" t="s">
        <v>19</v>
      </c>
      <c r="L158" s="6">
        <v>44574.5</v>
      </c>
      <c r="M158" s="11"/>
      <c r="N158" s="11" t="s">
        <v>449</v>
      </c>
    </row>
    <row r="159" spans="1:14" x14ac:dyDescent="0.2">
      <c r="A159" s="7">
        <v>44572</v>
      </c>
      <c r="B159" s="11" t="s">
        <v>5</v>
      </c>
      <c r="C159" s="13" t="s">
        <v>451</v>
      </c>
      <c r="D159" s="11" t="s">
        <v>446</v>
      </c>
      <c r="E159" s="3">
        <v>55</v>
      </c>
      <c r="F159" s="3"/>
      <c r="G159" s="11" t="s">
        <v>420</v>
      </c>
      <c r="H159" s="11" t="s">
        <v>6</v>
      </c>
      <c r="I159" s="11" t="s">
        <v>406</v>
      </c>
      <c r="J159" s="11" t="s">
        <v>365</v>
      </c>
      <c r="K159" s="14" t="s">
        <v>19</v>
      </c>
      <c r="L159" s="6">
        <v>44574.5</v>
      </c>
      <c r="M159" s="11"/>
      <c r="N159" s="11" t="s">
        <v>449</v>
      </c>
    </row>
    <row r="160" spans="1:14" x14ac:dyDescent="0.2">
      <c r="A160" s="7">
        <v>44539</v>
      </c>
      <c r="B160" s="11" t="s">
        <v>198</v>
      </c>
      <c r="C160" s="13" t="s">
        <v>443</v>
      </c>
      <c r="D160" s="11" t="s">
        <v>445</v>
      </c>
      <c r="E160" s="3">
        <v>50</v>
      </c>
      <c r="F160" s="3"/>
      <c r="G160" s="11" t="s">
        <v>199</v>
      </c>
      <c r="H160" s="11" t="s">
        <v>6</v>
      </c>
      <c r="I160" s="11" t="s">
        <v>405</v>
      </c>
      <c r="J160" s="11" t="s">
        <v>385</v>
      </c>
      <c r="K160" s="14" t="s">
        <v>200</v>
      </c>
      <c r="L160" s="6">
        <v>44574.583333333336</v>
      </c>
      <c r="M160" s="11" t="s">
        <v>272</v>
      </c>
      <c r="N160" s="11" t="s">
        <v>449</v>
      </c>
    </row>
    <row r="161" spans="1:14" x14ac:dyDescent="0.2">
      <c r="A161" s="7">
        <v>44539</v>
      </c>
      <c r="B161" s="11" t="s">
        <v>198</v>
      </c>
      <c r="C161" s="13" t="s">
        <v>443</v>
      </c>
      <c r="D161" s="11" t="s">
        <v>445</v>
      </c>
      <c r="E161" s="3">
        <v>50</v>
      </c>
      <c r="F161" s="3"/>
      <c r="G161" s="11" t="s">
        <v>202</v>
      </c>
      <c r="H161" s="11" t="s">
        <v>6</v>
      </c>
      <c r="I161" s="11" t="s">
        <v>405</v>
      </c>
      <c r="J161" s="11" t="s">
        <v>385</v>
      </c>
      <c r="K161" s="14" t="s">
        <v>200</v>
      </c>
      <c r="L161" s="6">
        <v>44574.583333333336</v>
      </c>
      <c r="M161" s="11" t="s">
        <v>272</v>
      </c>
      <c r="N161" s="11" t="s">
        <v>449</v>
      </c>
    </row>
    <row r="162" spans="1:14" x14ac:dyDescent="0.2">
      <c r="A162" s="7">
        <v>44525</v>
      </c>
      <c r="B162" s="11" t="s">
        <v>273</v>
      </c>
      <c r="C162" s="16" t="s">
        <v>441</v>
      </c>
      <c r="D162" s="11" t="s">
        <v>446</v>
      </c>
      <c r="E162" s="3">
        <v>50</v>
      </c>
      <c r="F162" s="3"/>
      <c r="G162" s="11" t="s">
        <v>274</v>
      </c>
      <c r="H162" s="11" t="s">
        <v>6</v>
      </c>
      <c r="I162" s="11" t="s">
        <v>405</v>
      </c>
      <c r="J162" s="11" t="s">
        <v>386</v>
      </c>
      <c r="K162" s="14" t="s">
        <v>275</v>
      </c>
      <c r="L162" s="6">
        <v>44578.25</v>
      </c>
      <c r="M162" s="11"/>
      <c r="N162" s="11" t="s">
        <v>449</v>
      </c>
    </row>
    <row r="163" spans="1:14" x14ac:dyDescent="0.2">
      <c r="A163" s="7">
        <v>44525</v>
      </c>
      <c r="B163" s="11" t="s">
        <v>273</v>
      </c>
      <c r="C163" s="16" t="s">
        <v>441</v>
      </c>
      <c r="D163" s="11" t="s">
        <v>446</v>
      </c>
      <c r="E163" s="3">
        <v>50</v>
      </c>
      <c r="F163" s="3"/>
      <c r="G163" s="11" t="s">
        <v>276</v>
      </c>
      <c r="H163" s="11" t="s">
        <v>6</v>
      </c>
      <c r="I163" s="11" t="s">
        <v>405</v>
      </c>
      <c r="J163" s="11" t="s">
        <v>386</v>
      </c>
      <c r="K163" s="14" t="s">
        <v>275</v>
      </c>
      <c r="L163" s="6">
        <v>44578.25</v>
      </c>
      <c r="M163" s="11"/>
      <c r="N163" s="11" t="s">
        <v>449</v>
      </c>
    </row>
    <row r="164" spans="1:14" x14ac:dyDescent="0.2">
      <c r="A164" s="7">
        <v>44525</v>
      </c>
      <c r="B164" s="11" t="s">
        <v>273</v>
      </c>
      <c r="C164" s="16" t="s">
        <v>441</v>
      </c>
      <c r="D164" s="11" t="s">
        <v>446</v>
      </c>
      <c r="E164" s="3">
        <v>50</v>
      </c>
      <c r="F164" s="3"/>
      <c r="G164" s="11" t="s">
        <v>277</v>
      </c>
      <c r="H164" s="11" t="s">
        <v>6</v>
      </c>
      <c r="I164" s="11" t="s">
        <v>405</v>
      </c>
      <c r="J164" s="11" t="s">
        <v>386</v>
      </c>
      <c r="K164" s="14" t="s">
        <v>275</v>
      </c>
      <c r="L164" s="6">
        <v>44578.25</v>
      </c>
      <c r="M164" s="11"/>
      <c r="N164" s="11" t="s">
        <v>449</v>
      </c>
    </row>
    <row r="165" spans="1:14" s="2" customFormat="1" x14ac:dyDescent="0.2">
      <c r="A165" s="7">
        <v>44525</v>
      </c>
      <c r="B165" s="11" t="s">
        <v>273</v>
      </c>
      <c r="C165" s="16" t="s">
        <v>441</v>
      </c>
      <c r="D165" s="11" t="s">
        <v>446</v>
      </c>
      <c r="E165" s="3">
        <v>50</v>
      </c>
      <c r="F165" s="3"/>
      <c r="G165" s="11" t="s">
        <v>278</v>
      </c>
      <c r="H165" s="11" t="s">
        <v>6</v>
      </c>
      <c r="I165" s="11" t="s">
        <v>405</v>
      </c>
      <c r="J165" s="11" t="s">
        <v>386</v>
      </c>
      <c r="K165" s="14" t="s">
        <v>275</v>
      </c>
      <c r="L165" s="6">
        <v>44578.25</v>
      </c>
      <c r="M165" s="11"/>
      <c r="N165" s="11" t="s">
        <v>449</v>
      </c>
    </row>
    <row r="166" spans="1:14" s="2" customFormat="1" x14ac:dyDescent="0.2">
      <c r="A166" s="7">
        <v>44559</v>
      </c>
      <c r="B166" s="11" t="s">
        <v>5</v>
      </c>
      <c r="C166" s="13" t="s">
        <v>451</v>
      </c>
      <c r="D166" s="11" t="s">
        <v>445</v>
      </c>
      <c r="E166" s="3">
        <v>50</v>
      </c>
      <c r="F166" s="3"/>
      <c r="G166" s="11" t="s">
        <v>180</v>
      </c>
      <c r="H166" s="11" t="s">
        <v>6</v>
      </c>
      <c r="I166" s="11" t="s">
        <v>405</v>
      </c>
      <c r="J166" s="11" t="s">
        <v>387</v>
      </c>
      <c r="K166" s="14" t="s">
        <v>19</v>
      </c>
      <c r="L166" s="6">
        <v>44578.458333333336</v>
      </c>
      <c r="M166" s="11" t="s">
        <v>279</v>
      </c>
      <c r="N166" s="11" t="s">
        <v>449</v>
      </c>
    </row>
    <row r="167" spans="1:14" s="2" customFormat="1" x14ac:dyDescent="0.2">
      <c r="A167" s="7">
        <v>44572</v>
      </c>
      <c r="B167" s="11" t="s">
        <v>5</v>
      </c>
      <c r="C167" s="13" t="s">
        <v>451</v>
      </c>
      <c r="D167" s="11" t="s">
        <v>447</v>
      </c>
      <c r="E167" s="3">
        <v>40</v>
      </c>
      <c r="F167" s="11" t="s">
        <v>9</v>
      </c>
      <c r="G167" s="11"/>
      <c r="H167" s="11" t="s">
        <v>6</v>
      </c>
      <c r="I167" s="11" t="s">
        <v>406</v>
      </c>
      <c r="J167" s="11" t="s">
        <v>365</v>
      </c>
      <c r="K167" s="14" t="s">
        <v>19</v>
      </c>
      <c r="L167" s="6">
        <v>44578.583333333336</v>
      </c>
      <c r="M167" s="11"/>
      <c r="N167" s="11" t="s">
        <v>449</v>
      </c>
    </row>
    <row r="168" spans="1:14" x14ac:dyDescent="0.2">
      <c r="A168" s="7">
        <v>44572</v>
      </c>
      <c r="B168" s="11" t="s">
        <v>5</v>
      </c>
      <c r="C168" s="13" t="s">
        <v>451</v>
      </c>
      <c r="D168" s="11" t="s">
        <v>447</v>
      </c>
      <c r="E168" s="3">
        <v>40</v>
      </c>
      <c r="F168" s="11" t="s">
        <v>280</v>
      </c>
      <c r="G168" s="11"/>
      <c r="H168" s="11" t="s">
        <v>6</v>
      </c>
      <c r="I168" s="11" t="s">
        <v>406</v>
      </c>
      <c r="J168" s="11" t="s">
        <v>365</v>
      </c>
      <c r="K168" s="14" t="s">
        <v>19</v>
      </c>
      <c r="L168" s="6">
        <v>44578.583333333336</v>
      </c>
      <c r="M168" s="11"/>
      <c r="N168" s="11" t="s">
        <v>449</v>
      </c>
    </row>
    <row r="169" spans="1:14" s="2" customFormat="1" x14ac:dyDescent="0.2">
      <c r="A169" s="7">
        <v>44572</v>
      </c>
      <c r="B169" s="11" t="s">
        <v>5</v>
      </c>
      <c r="C169" s="13" t="s">
        <v>451</v>
      </c>
      <c r="D169" s="11" t="s">
        <v>447</v>
      </c>
      <c r="E169" s="3">
        <v>30</v>
      </c>
      <c r="F169" s="3" t="s">
        <v>421</v>
      </c>
      <c r="G169" s="11"/>
      <c r="H169" s="11" t="s">
        <v>6</v>
      </c>
      <c r="I169" s="11" t="s">
        <v>406</v>
      </c>
      <c r="J169" s="11" t="s">
        <v>365</v>
      </c>
      <c r="K169" s="14" t="s">
        <v>19</v>
      </c>
      <c r="L169" s="6">
        <v>44578.583333333336</v>
      </c>
      <c r="M169" s="11"/>
      <c r="N169" s="11" t="s">
        <v>449</v>
      </c>
    </row>
    <row r="170" spans="1:14" s="2" customFormat="1" x14ac:dyDescent="0.2">
      <c r="A170" s="7">
        <v>44572</v>
      </c>
      <c r="B170" s="11" t="s">
        <v>5</v>
      </c>
      <c r="C170" s="13" t="s">
        <v>451</v>
      </c>
      <c r="D170" s="11" t="s">
        <v>446</v>
      </c>
      <c r="E170" s="3">
        <v>55</v>
      </c>
      <c r="F170" s="3"/>
      <c r="G170" s="11" t="s">
        <v>8</v>
      </c>
      <c r="H170" s="11" t="s">
        <v>6</v>
      </c>
      <c r="I170" s="11" t="s">
        <v>406</v>
      </c>
      <c r="J170" s="11" t="s">
        <v>365</v>
      </c>
      <c r="K170" s="14" t="s">
        <v>19</v>
      </c>
      <c r="L170" s="6">
        <v>44578.583333333336</v>
      </c>
      <c r="M170" s="11"/>
      <c r="N170" s="11" t="s">
        <v>449</v>
      </c>
    </row>
    <row r="171" spans="1:14" s="2" customFormat="1" x14ac:dyDescent="0.2">
      <c r="A171" s="7">
        <v>44572</v>
      </c>
      <c r="B171" s="11" t="s">
        <v>281</v>
      </c>
      <c r="C171" s="13" t="s">
        <v>441</v>
      </c>
      <c r="D171" s="11" t="s">
        <v>446</v>
      </c>
      <c r="E171" s="3">
        <v>50</v>
      </c>
      <c r="F171" s="3"/>
      <c r="G171" s="11" t="s">
        <v>282</v>
      </c>
      <c r="H171" s="11" t="s">
        <v>4</v>
      </c>
      <c r="I171" s="11" t="s">
        <v>405</v>
      </c>
      <c r="J171" s="15" t="s">
        <v>388</v>
      </c>
      <c r="K171" s="29" t="s">
        <v>283</v>
      </c>
      <c r="L171" s="6">
        <v>44581.375</v>
      </c>
      <c r="M171" s="15"/>
      <c r="N171" s="11" t="s">
        <v>449</v>
      </c>
    </row>
    <row r="172" spans="1:14" s="2" customFormat="1" x14ac:dyDescent="0.2">
      <c r="A172" s="7">
        <v>44572</v>
      </c>
      <c r="B172" s="11" t="s">
        <v>85</v>
      </c>
      <c r="C172" s="13" t="s">
        <v>450</v>
      </c>
      <c r="D172" s="11" t="s">
        <v>447</v>
      </c>
      <c r="E172" s="3">
        <v>40</v>
      </c>
      <c r="F172" s="11" t="s">
        <v>284</v>
      </c>
      <c r="G172" s="11"/>
      <c r="H172" s="11" t="s">
        <v>4</v>
      </c>
      <c r="I172" s="11" t="s">
        <v>406</v>
      </c>
      <c r="J172" s="11" t="s">
        <v>389</v>
      </c>
      <c r="K172" s="14" t="s">
        <v>285</v>
      </c>
      <c r="L172" s="6">
        <v>44581.416666666664</v>
      </c>
      <c r="M172" s="11" t="s">
        <v>437</v>
      </c>
      <c r="N172" s="11" t="s">
        <v>449</v>
      </c>
    </row>
    <row r="173" spans="1:14" s="2" customFormat="1" x14ac:dyDescent="0.2">
      <c r="A173" s="7">
        <v>44572</v>
      </c>
      <c r="B173" s="11" t="s">
        <v>286</v>
      </c>
      <c r="C173" s="13" t="s">
        <v>451</v>
      </c>
      <c r="D173" s="11" t="s">
        <v>447</v>
      </c>
      <c r="E173" s="3">
        <v>30</v>
      </c>
      <c r="F173" s="3" t="s">
        <v>423</v>
      </c>
      <c r="G173" s="11"/>
      <c r="H173" s="11" t="s">
        <v>4</v>
      </c>
      <c r="I173" s="11" t="s">
        <v>406</v>
      </c>
      <c r="J173" s="11" t="s">
        <v>390</v>
      </c>
      <c r="K173" s="14" t="s">
        <v>287</v>
      </c>
      <c r="L173" s="6">
        <v>44581.541666666664</v>
      </c>
      <c r="M173" s="11"/>
      <c r="N173" s="11" t="s">
        <v>449</v>
      </c>
    </row>
    <row r="174" spans="1:14" x14ac:dyDescent="0.2">
      <c r="A174" s="7">
        <v>44572</v>
      </c>
      <c r="B174" s="11" t="s">
        <v>286</v>
      </c>
      <c r="C174" s="13" t="s">
        <v>451</v>
      </c>
      <c r="D174" s="11" t="s">
        <v>446</v>
      </c>
      <c r="E174" s="3">
        <v>55</v>
      </c>
      <c r="F174" s="3"/>
      <c r="G174" s="11" t="s">
        <v>422</v>
      </c>
      <c r="H174" s="11" t="s">
        <v>4</v>
      </c>
      <c r="I174" s="11" t="s">
        <v>406</v>
      </c>
      <c r="J174" s="11" t="s">
        <v>390</v>
      </c>
      <c r="K174" s="14" t="s">
        <v>287</v>
      </c>
      <c r="L174" s="10">
        <v>44581.541666666664</v>
      </c>
      <c r="M174" s="11"/>
      <c r="N174" s="11" t="s">
        <v>449</v>
      </c>
    </row>
    <row r="175" spans="1:14" x14ac:dyDescent="0.2">
      <c r="A175" s="7">
        <v>44579</v>
      </c>
      <c r="B175" s="11" t="s">
        <v>169</v>
      </c>
      <c r="C175" s="13" t="s">
        <v>450</v>
      </c>
      <c r="D175" s="11" t="s">
        <v>445</v>
      </c>
      <c r="E175" s="3">
        <v>55</v>
      </c>
      <c r="F175" s="3"/>
      <c r="G175" s="11" t="s">
        <v>288</v>
      </c>
      <c r="H175" s="11" t="s">
        <v>4</v>
      </c>
      <c r="I175" s="11" t="s">
        <v>405</v>
      </c>
      <c r="J175" s="11" t="s">
        <v>391</v>
      </c>
      <c r="K175" s="11" t="s">
        <v>402</v>
      </c>
      <c r="L175" s="10">
        <v>44581.645833333336</v>
      </c>
      <c r="M175" s="11"/>
      <c r="N175" s="11" t="s">
        <v>449</v>
      </c>
    </row>
    <row r="176" spans="1:14" x14ac:dyDescent="0.2">
      <c r="A176" s="25">
        <v>44572</v>
      </c>
      <c r="B176" s="26" t="s">
        <v>289</v>
      </c>
      <c r="C176" s="27" t="s">
        <v>441</v>
      </c>
      <c r="D176" s="11" t="s">
        <v>446</v>
      </c>
      <c r="E176" s="5">
        <v>50</v>
      </c>
      <c r="F176" s="5"/>
      <c r="G176" s="26" t="s">
        <v>215</v>
      </c>
      <c r="H176" s="26" t="s">
        <v>4</v>
      </c>
      <c r="I176" s="11" t="s">
        <v>405</v>
      </c>
      <c r="J176" s="11" t="s">
        <v>392</v>
      </c>
      <c r="K176" s="28" t="s">
        <v>290</v>
      </c>
      <c r="L176" s="6">
        <v>44582.416666666664</v>
      </c>
      <c r="M176" s="11"/>
      <c r="N176" s="11" t="s">
        <v>449</v>
      </c>
    </row>
    <row r="177" spans="1:14" s="2" customFormat="1" x14ac:dyDescent="0.2">
      <c r="A177" s="7">
        <v>44572</v>
      </c>
      <c r="B177" s="11" t="s">
        <v>289</v>
      </c>
      <c r="C177" s="13" t="s">
        <v>441</v>
      </c>
      <c r="D177" s="11" t="s">
        <v>446</v>
      </c>
      <c r="E177" s="3">
        <v>50</v>
      </c>
      <c r="F177" s="3"/>
      <c r="G177" s="11" t="s">
        <v>216</v>
      </c>
      <c r="H177" s="11" t="s">
        <v>4</v>
      </c>
      <c r="I177" s="11" t="s">
        <v>405</v>
      </c>
      <c r="J177" s="11" t="s">
        <v>392</v>
      </c>
      <c r="K177" s="14" t="s">
        <v>290</v>
      </c>
      <c r="L177" s="6">
        <v>44582.416666666664</v>
      </c>
      <c r="M177" s="11"/>
      <c r="N177" s="11" t="s">
        <v>449</v>
      </c>
    </row>
    <row r="178" spans="1:14" x14ac:dyDescent="0.2">
      <c r="A178" s="22">
        <v>44572</v>
      </c>
      <c r="B178" s="17" t="s">
        <v>289</v>
      </c>
      <c r="C178" s="23" t="s">
        <v>441</v>
      </c>
      <c r="D178" s="11" t="s">
        <v>446</v>
      </c>
      <c r="E178" s="4">
        <v>50</v>
      </c>
      <c r="F178" s="4"/>
      <c r="G178" s="17" t="s">
        <v>217</v>
      </c>
      <c r="H178" s="17" t="s">
        <v>4</v>
      </c>
      <c r="I178" s="11" t="s">
        <v>405</v>
      </c>
      <c r="J178" s="11" t="s">
        <v>392</v>
      </c>
      <c r="K178" s="24" t="s">
        <v>290</v>
      </c>
      <c r="L178" s="6">
        <v>44582.416666666664</v>
      </c>
      <c r="M178" s="11"/>
      <c r="N178" s="11" t="s">
        <v>449</v>
      </c>
    </row>
    <row r="179" spans="1:14" s="2" customFormat="1" x14ac:dyDescent="0.2">
      <c r="A179" s="7">
        <v>44578</v>
      </c>
      <c r="B179" s="11" t="s">
        <v>291</v>
      </c>
      <c r="C179" s="13" t="s">
        <v>453</v>
      </c>
      <c r="D179" s="11" t="s">
        <v>447</v>
      </c>
      <c r="E179" s="3">
        <v>40</v>
      </c>
      <c r="F179" s="11" t="s">
        <v>292</v>
      </c>
      <c r="G179" s="11"/>
      <c r="H179" s="11" t="s">
        <v>6</v>
      </c>
      <c r="I179" s="11" t="s">
        <v>406</v>
      </c>
      <c r="J179" s="11" t="s">
        <v>393</v>
      </c>
      <c r="K179" s="14" t="s">
        <v>293</v>
      </c>
      <c r="L179" s="10">
        <v>44582.5</v>
      </c>
      <c r="M179" s="11" t="s">
        <v>294</v>
      </c>
      <c r="N179" s="11" t="s">
        <v>449</v>
      </c>
    </row>
    <row r="180" spans="1:14" s="2" customFormat="1" x14ac:dyDescent="0.2">
      <c r="A180" s="7">
        <v>44546</v>
      </c>
      <c r="B180" s="11" t="s">
        <v>295</v>
      </c>
      <c r="C180" s="16" t="s">
        <v>441</v>
      </c>
      <c r="D180" s="11" t="s">
        <v>446</v>
      </c>
      <c r="E180" s="3">
        <v>50</v>
      </c>
      <c r="F180" s="3"/>
      <c r="G180" s="11" t="s">
        <v>296</v>
      </c>
      <c r="H180" s="11" t="s">
        <v>4</v>
      </c>
      <c r="I180" s="11" t="s">
        <v>405</v>
      </c>
      <c r="J180" s="11" t="s">
        <v>394</v>
      </c>
      <c r="K180" s="14" t="s">
        <v>297</v>
      </c>
      <c r="L180" s="10">
        <v>44583.291666666664</v>
      </c>
      <c r="M180" s="11"/>
      <c r="N180" s="11" t="s">
        <v>449</v>
      </c>
    </row>
    <row r="181" spans="1:14" s="2" customFormat="1" x14ac:dyDescent="0.2">
      <c r="A181" s="7">
        <v>44540</v>
      </c>
      <c r="B181" s="11" t="s">
        <v>303</v>
      </c>
      <c r="C181" s="16" t="s">
        <v>441</v>
      </c>
      <c r="D181" s="11" t="s">
        <v>446</v>
      </c>
      <c r="E181" s="3">
        <v>50</v>
      </c>
      <c r="F181" s="3"/>
      <c r="G181" s="11" t="s">
        <v>304</v>
      </c>
      <c r="H181" s="11" t="s">
        <v>4</v>
      </c>
      <c r="I181" s="11" t="s">
        <v>405</v>
      </c>
      <c r="J181" s="11" t="s">
        <v>396</v>
      </c>
      <c r="K181" s="14" t="s">
        <v>305</v>
      </c>
      <c r="L181" s="10">
        <v>44583.333333333336</v>
      </c>
      <c r="M181" s="11"/>
      <c r="N181" s="11" t="s">
        <v>449</v>
      </c>
    </row>
    <row r="182" spans="1:14" s="2" customFormat="1" x14ac:dyDescent="0.2">
      <c r="A182" s="7">
        <v>44540</v>
      </c>
      <c r="B182" s="11" t="s">
        <v>303</v>
      </c>
      <c r="C182" s="16" t="s">
        <v>441</v>
      </c>
      <c r="D182" s="11" t="s">
        <v>446</v>
      </c>
      <c r="E182" s="3">
        <v>50</v>
      </c>
      <c r="F182" s="3"/>
      <c r="G182" s="11" t="s">
        <v>306</v>
      </c>
      <c r="H182" s="11" t="s">
        <v>4</v>
      </c>
      <c r="I182" s="11" t="s">
        <v>405</v>
      </c>
      <c r="J182" s="11" t="s">
        <v>396</v>
      </c>
      <c r="K182" s="14" t="s">
        <v>305</v>
      </c>
      <c r="L182" s="10">
        <v>44583.333333333336</v>
      </c>
      <c r="M182" s="11"/>
      <c r="N182" s="11" t="s">
        <v>449</v>
      </c>
    </row>
    <row r="183" spans="1:14" s="2" customFormat="1" x14ac:dyDescent="0.2">
      <c r="A183" s="7">
        <v>44540</v>
      </c>
      <c r="B183" s="11" t="s">
        <v>303</v>
      </c>
      <c r="C183" s="16" t="s">
        <v>441</v>
      </c>
      <c r="D183" s="11" t="s">
        <v>446</v>
      </c>
      <c r="E183" s="3">
        <v>50</v>
      </c>
      <c r="F183" s="3"/>
      <c r="G183" s="11" t="s">
        <v>307</v>
      </c>
      <c r="H183" s="11" t="s">
        <v>4</v>
      </c>
      <c r="I183" s="11" t="s">
        <v>405</v>
      </c>
      <c r="J183" s="11" t="s">
        <v>396</v>
      </c>
      <c r="K183" s="14" t="s">
        <v>305</v>
      </c>
      <c r="L183" s="6">
        <v>44583.333333333336</v>
      </c>
      <c r="M183" s="11"/>
      <c r="N183" s="11" t="s">
        <v>449</v>
      </c>
    </row>
    <row r="184" spans="1:14" s="2" customFormat="1" x14ac:dyDescent="0.2">
      <c r="A184" s="7">
        <v>44540</v>
      </c>
      <c r="B184" s="11" t="s">
        <v>303</v>
      </c>
      <c r="C184" s="16" t="s">
        <v>441</v>
      </c>
      <c r="D184" s="11" t="s">
        <v>446</v>
      </c>
      <c r="E184" s="3">
        <v>50</v>
      </c>
      <c r="F184" s="3"/>
      <c r="G184" s="11" t="s">
        <v>308</v>
      </c>
      <c r="H184" s="11" t="s">
        <v>4</v>
      </c>
      <c r="I184" s="11" t="s">
        <v>405</v>
      </c>
      <c r="J184" s="11" t="s">
        <v>396</v>
      </c>
      <c r="K184" s="14" t="s">
        <v>305</v>
      </c>
      <c r="L184" s="6">
        <v>44583.333333333336</v>
      </c>
      <c r="M184" s="11"/>
      <c r="N184" s="11" t="s">
        <v>449</v>
      </c>
    </row>
    <row r="185" spans="1:14" s="2" customFormat="1" x14ac:dyDescent="0.2">
      <c r="A185" s="7">
        <v>44540</v>
      </c>
      <c r="B185" s="11" t="s">
        <v>303</v>
      </c>
      <c r="C185" s="16" t="s">
        <v>441</v>
      </c>
      <c r="D185" s="11" t="s">
        <v>446</v>
      </c>
      <c r="E185" s="3">
        <v>50</v>
      </c>
      <c r="F185" s="3"/>
      <c r="G185" s="11" t="s">
        <v>309</v>
      </c>
      <c r="H185" s="11" t="s">
        <v>4</v>
      </c>
      <c r="I185" s="11" t="s">
        <v>405</v>
      </c>
      <c r="J185" s="11" t="s">
        <v>396</v>
      </c>
      <c r="K185" s="14" t="s">
        <v>305</v>
      </c>
      <c r="L185" s="6">
        <v>44583.333333333336</v>
      </c>
      <c r="M185" s="11"/>
      <c r="N185" s="11" t="s">
        <v>449</v>
      </c>
    </row>
    <row r="186" spans="1:14" s="2" customFormat="1" x14ac:dyDescent="0.2">
      <c r="A186" s="7">
        <v>44540</v>
      </c>
      <c r="B186" s="11" t="s">
        <v>303</v>
      </c>
      <c r="C186" s="16" t="s">
        <v>441</v>
      </c>
      <c r="D186" s="11" t="s">
        <v>446</v>
      </c>
      <c r="E186" s="3">
        <v>50</v>
      </c>
      <c r="F186" s="3"/>
      <c r="G186" s="11" t="s">
        <v>310</v>
      </c>
      <c r="H186" s="11" t="s">
        <v>4</v>
      </c>
      <c r="I186" s="11" t="s">
        <v>405</v>
      </c>
      <c r="J186" s="11" t="s">
        <v>396</v>
      </c>
      <c r="K186" s="14" t="s">
        <v>305</v>
      </c>
      <c r="L186" s="6">
        <v>44583.333333333336</v>
      </c>
      <c r="M186" s="11"/>
      <c r="N186" s="11" t="s">
        <v>449</v>
      </c>
    </row>
    <row r="187" spans="1:14" x14ac:dyDescent="0.2">
      <c r="A187" s="7">
        <v>44568</v>
      </c>
      <c r="B187" s="11" t="s">
        <v>298</v>
      </c>
      <c r="C187" s="13" t="s">
        <v>441</v>
      </c>
      <c r="D187" s="11" t="s">
        <v>446</v>
      </c>
      <c r="E187" s="3">
        <v>50</v>
      </c>
      <c r="F187" s="3"/>
      <c r="G187" s="11" t="s">
        <v>299</v>
      </c>
      <c r="H187" s="11" t="s">
        <v>6</v>
      </c>
      <c r="I187" s="11" t="s">
        <v>405</v>
      </c>
      <c r="J187" s="11" t="s">
        <v>395</v>
      </c>
      <c r="K187" s="14" t="s">
        <v>300</v>
      </c>
      <c r="L187" s="6">
        <v>44583.375</v>
      </c>
      <c r="M187" s="11"/>
      <c r="N187" s="11" t="s">
        <v>449</v>
      </c>
    </row>
    <row r="188" spans="1:14" x14ac:dyDescent="0.2">
      <c r="A188" s="7">
        <v>44568</v>
      </c>
      <c r="B188" s="11" t="s">
        <v>298</v>
      </c>
      <c r="C188" s="13" t="s">
        <v>441</v>
      </c>
      <c r="D188" s="11" t="s">
        <v>446</v>
      </c>
      <c r="E188" s="3">
        <v>50</v>
      </c>
      <c r="F188" s="3"/>
      <c r="G188" s="11" t="s">
        <v>301</v>
      </c>
      <c r="H188" s="11" t="s">
        <v>6</v>
      </c>
      <c r="I188" s="11" t="s">
        <v>405</v>
      </c>
      <c r="J188" s="11" t="s">
        <v>395</v>
      </c>
      <c r="K188" s="14" t="s">
        <v>300</v>
      </c>
      <c r="L188" s="6">
        <v>44583.375</v>
      </c>
      <c r="M188" s="11"/>
      <c r="N188" s="11" t="s">
        <v>449</v>
      </c>
    </row>
    <row r="189" spans="1:14" s="2" customFormat="1" x14ac:dyDescent="0.2">
      <c r="A189" s="7">
        <v>44568</v>
      </c>
      <c r="B189" s="11" t="s">
        <v>298</v>
      </c>
      <c r="C189" s="13" t="s">
        <v>441</v>
      </c>
      <c r="D189" s="11" t="s">
        <v>446</v>
      </c>
      <c r="E189" s="3">
        <v>50</v>
      </c>
      <c r="F189" s="3"/>
      <c r="G189" s="11" t="s">
        <v>302</v>
      </c>
      <c r="H189" s="11" t="s">
        <v>6</v>
      </c>
      <c r="I189" s="11" t="s">
        <v>405</v>
      </c>
      <c r="J189" s="11" t="s">
        <v>395</v>
      </c>
      <c r="K189" s="14" t="s">
        <v>300</v>
      </c>
      <c r="L189" s="6">
        <v>44583.375</v>
      </c>
      <c r="M189" s="11"/>
      <c r="N189" s="11" t="s">
        <v>449</v>
      </c>
    </row>
    <row r="190" spans="1:14" s="2" customFormat="1" x14ac:dyDescent="0.2">
      <c r="A190" s="7">
        <v>44568</v>
      </c>
      <c r="B190" s="11" t="s">
        <v>311</v>
      </c>
      <c r="C190" s="13" t="s">
        <v>441</v>
      </c>
      <c r="D190" s="11" t="s">
        <v>446</v>
      </c>
      <c r="E190" s="3">
        <v>50</v>
      </c>
      <c r="F190" s="3"/>
      <c r="G190" s="11" t="s">
        <v>312</v>
      </c>
      <c r="H190" s="11" t="s">
        <v>6</v>
      </c>
      <c r="I190" s="11" t="s">
        <v>405</v>
      </c>
      <c r="J190" s="11" t="s">
        <v>397</v>
      </c>
      <c r="K190" s="14" t="s">
        <v>313</v>
      </c>
      <c r="L190" s="6">
        <v>44585.333333333336</v>
      </c>
      <c r="M190" s="11"/>
      <c r="N190" s="11" t="s">
        <v>449</v>
      </c>
    </row>
    <row r="191" spans="1:14" x14ac:dyDescent="0.2">
      <c r="A191" s="7">
        <v>44568</v>
      </c>
      <c r="B191" s="11" t="s">
        <v>311</v>
      </c>
      <c r="C191" s="13" t="s">
        <v>441</v>
      </c>
      <c r="D191" s="11" t="s">
        <v>446</v>
      </c>
      <c r="E191" s="3">
        <v>50</v>
      </c>
      <c r="F191" s="3"/>
      <c r="G191" s="11" t="s">
        <v>314</v>
      </c>
      <c r="H191" s="11" t="s">
        <v>6</v>
      </c>
      <c r="I191" s="11" t="s">
        <v>405</v>
      </c>
      <c r="J191" s="11" t="s">
        <v>397</v>
      </c>
      <c r="K191" s="14" t="s">
        <v>313</v>
      </c>
      <c r="L191" s="6">
        <v>44585.333333333336</v>
      </c>
      <c r="M191" s="11"/>
      <c r="N191" s="11" t="s">
        <v>449</v>
      </c>
    </row>
    <row r="192" spans="1:14" x14ac:dyDescent="0.2">
      <c r="A192" s="7">
        <v>44568</v>
      </c>
      <c r="B192" s="11" t="s">
        <v>311</v>
      </c>
      <c r="C192" s="13" t="s">
        <v>441</v>
      </c>
      <c r="D192" s="11" t="s">
        <v>446</v>
      </c>
      <c r="E192" s="3">
        <v>50</v>
      </c>
      <c r="F192" s="3"/>
      <c r="G192" s="11" t="s">
        <v>315</v>
      </c>
      <c r="H192" s="11" t="s">
        <v>6</v>
      </c>
      <c r="I192" s="11" t="s">
        <v>405</v>
      </c>
      <c r="J192" s="11" t="s">
        <v>397</v>
      </c>
      <c r="K192" s="14" t="s">
        <v>313</v>
      </c>
      <c r="L192" s="6">
        <v>44585.333333333336</v>
      </c>
      <c r="M192" s="11"/>
      <c r="N192" s="11" t="s">
        <v>449</v>
      </c>
    </row>
    <row r="193" spans="1:14" s="2" customFormat="1" x14ac:dyDescent="0.2">
      <c r="A193" s="7">
        <v>44568</v>
      </c>
      <c r="B193" s="11" t="s">
        <v>311</v>
      </c>
      <c r="C193" s="13" t="s">
        <v>441</v>
      </c>
      <c r="D193" s="11" t="s">
        <v>446</v>
      </c>
      <c r="E193" s="3">
        <v>50</v>
      </c>
      <c r="F193" s="3"/>
      <c r="G193" s="11" t="s">
        <v>316</v>
      </c>
      <c r="H193" s="11" t="s">
        <v>6</v>
      </c>
      <c r="I193" s="11" t="s">
        <v>405</v>
      </c>
      <c r="J193" s="11" t="s">
        <v>397</v>
      </c>
      <c r="K193" s="14" t="s">
        <v>313</v>
      </c>
      <c r="L193" s="6">
        <v>44585.333333333336</v>
      </c>
      <c r="M193" s="11"/>
      <c r="N193" s="11" t="s">
        <v>449</v>
      </c>
    </row>
    <row r="194" spans="1:14" s="2" customFormat="1" x14ac:dyDescent="0.2">
      <c r="A194" s="7">
        <v>44568</v>
      </c>
      <c r="B194" s="11" t="s">
        <v>311</v>
      </c>
      <c r="C194" s="13" t="s">
        <v>441</v>
      </c>
      <c r="D194" s="11" t="s">
        <v>446</v>
      </c>
      <c r="E194" s="3">
        <v>50</v>
      </c>
      <c r="F194" s="3"/>
      <c r="G194" s="11" t="s">
        <v>317</v>
      </c>
      <c r="H194" s="11" t="s">
        <v>6</v>
      </c>
      <c r="I194" s="11" t="s">
        <v>405</v>
      </c>
      <c r="J194" s="11" t="s">
        <v>397</v>
      </c>
      <c r="K194" s="14" t="s">
        <v>313</v>
      </c>
      <c r="L194" s="6">
        <v>44585.333333333336</v>
      </c>
      <c r="M194" s="11"/>
      <c r="N194" s="11" t="s">
        <v>449</v>
      </c>
    </row>
    <row r="195" spans="1:14" s="2" customFormat="1" x14ac:dyDescent="0.2">
      <c r="A195" s="7">
        <v>44578</v>
      </c>
      <c r="B195" s="15" t="s">
        <v>90</v>
      </c>
      <c r="C195" s="13" t="s">
        <v>441</v>
      </c>
      <c r="D195" s="11" t="s">
        <v>447</v>
      </c>
      <c r="E195" s="3">
        <v>30</v>
      </c>
      <c r="F195" s="3" t="s">
        <v>94</v>
      </c>
      <c r="G195" s="11"/>
      <c r="H195" s="11" t="s">
        <v>6</v>
      </c>
      <c r="I195" s="11" t="s">
        <v>406</v>
      </c>
      <c r="J195" s="11" t="s">
        <v>348</v>
      </c>
      <c r="K195" s="14" t="s">
        <v>92</v>
      </c>
      <c r="L195" s="6">
        <v>44586.708333333336</v>
      </c>
      <c r="M195" s="11"/>
      <c r="N195" s="11" t="s">
        <v>449</v>
      </c>
    </row>
    <row r="196" spans="1:14" s="2" customFormat="1" x14ac:dyDescent="0.2">
      <c r="A196" s="7">
        <v>44578</v>
      </c>
      <c r="B196" s="15" t="s">
        <v>90</v>
      </c>
      <c r="C196" s="13" t="s">
        <v>441</v>
      </c>
      <c r="D196" s="11" t="s">
        <v>447</v>
      </c>
      <c r="E196" s="3">
        <v>30</v>
      </c>
      <c r="F196" s="3" t="s">
        <v>91</v>
      </c>
      <c r="G196" s="11"/>
      <c r="H196" s="11" t="s">
        <v>6</v>
      </c>
      <c r="I196" s="11" t="s">
        <v>406</v>
      </c>
      <c r="J196" s="11" t="s">
        <v>348</v>
      </c>
      <c r="K196" s="14" t="s">
        <v>92</v>
      </c>
      <c r="L196" s="6">
        <v>44586.708333333336</v>
      </c>
      <c r="M196" s="11"/>
      <c r="N196" s="11" t="s">
        <v>449</v>
      </c>
    </row>
    <row r="197" spans="1:14" x14ac:dyDescent="0.2">
      <c r="A197" s="7">
        <v>44578</v>
      </c>
      <c r="B197" s="15" t="s">
        <v>90</v>
      </c>
      <c r="C197" s="13" t="s">
        <v>441</v>
      </c>
      <c r="D197" s="11" t="s">
        <v>446</v>
      </c>
      <c r="E197" s="3">
        <v>50</v>
      </c>
      <c r="F197" s="3"/>
      <c r="G197" s="11" t="s">
        <v>424</v>
      </c>
      <c r="H197" s="11" t="s">
        <v>6</v>
      </c>
      <c r="I197" s="11" t="s">
        <v>406</v>
      </c>
      <c r="J197" s="11" t="s">
        <v>348</v>
      </c>
      <c r="K197" s="14" t="s">
        <v>92</v>
      </c>
      <c r="L197" s="6">
        <v>44586.708333333336</v>
      </c>
      <c r="M197" s="11"/>
      <c r="N197" s="11" t="s">
        <v>449</v>
      </c>
    </row>
    <row r="198" spans="1:14" x14ac:dyDescent="0.2">
      <c r="A198" s="7">
        <v>44578</v>
      </c>
      <c r="B198" s="15" t="s">
        <v>90</v>
      </c>
      <c r="C198" s="13" t="s">
        <v>441</v>
      </c>
      <c r="D198" s="11" t="s">
        <v>446</v>
      </c>
      <c r="E198" s="3">
        <v>50</v>
      </c>
      <c r="F198" s="3"/>
      <c r="G198" s="11" t="s">
        <v>425</v>
      </c>
      <c r="H198" s="11" t="s">
        <v>6</v>
      </c>
      <c r="I198" s="11" t="s">
        <v>406</v>
      </c>
      <c r="J198" s="11" t="s">
        <v>348</v>
      </c>
      <c r="K198" s="14" t="s">
        <v>92</v>
      </c>
      <c r="L198" s="6">
        <v>44586.708333333336</v>
      </c>
      <c r="M198" s="11"/>
      <c r="N198" s="11" t="s">
        <v>449</v>
      </c>
    </row>
    <row r="199" spans="1:14" x14ac:dyDescent="0.2">
      <c r="A199" s="22">
        <v>44544</v>
      </c>
      <c r="B199" s="17" t="s">
        <v>318</v>
      </c>
      <c r="C199" s="13" t="s">
        <v>451</v>
      </c>
      <c r="D199" s="11" t="s">
        <v>445</v>
      </c>
      <c r="E199" s="3">
        <v>50</v>
      </c>
      <c r="F199" s="4"/>
      <c r="G199" s="17" t="s">
        <v>319</v>
      </c>
      <c r="H199" s="17" t="s">
        <v>4</v>
      </c>
      <c r="I199" s="11" t="s">
        <v>405</v>
      </c>
      <c r="J199" s="11" t="s">
        <v>398</v>
      </c>
      <c r="K199" s="24" t="s">
        <v>320</v>
      </c>
      <c r="L199" s="8">
        <v>44587.604166666664</v>
      </c>
      <c r="M199" s="17" t="s">
        <v>321</v>
      </c>
      <c r="N199" s="11" t="s">
        <v>449</v>
      </c>
    </row>
    <row r="200" spans="1:14" x14ac:dyDescent="0.2">
      <c r="A200" s="7">
        <v>44585</v>
      </c>
      <c r="B200" s="11" t="s">
        <v>3</v>
      </c>
      <c r="C200" s="13" t="s">
        <v>441</v>
      </c>
      <c r="D200" s="11" t="s">
        <v>447</v>
      </c>
      <c r="E200" s="3">
        <v>30</v>
      </c>
      <c r="F200" s="3" t="s">
        <v>427</v>
      </c>
      <c r="G200" s="11"/>
      <c r="H200" s="11" t="s">
        <v>4</v>
      </c>
      <c r="I200" s="11" t="s">
        <v>406</v>
      </c>
      <c r="J200" s="11" t="s">
        <v>399</v>
      </c>
      <c r="K200" s="14" t="s">
        <v>322</v>
      </c>
      <c r="L200" s="6">
        <v>44587.666666666664</v>
      </c>
      <c r="M200" s="11"/>
      <c r="N200" s="11" t="s">
        <v>449</v>
      </c>
    </row>
    <row r="201" spans="1:14" x14ac:dyDescent="0.2">
      <c r="A201" s="7">
        <v>44585</v>
      </c>
      <c r="B201" s="11" t="s">
        <v>3</v>
      </c>
      <c r="C201" s="13" t="s">
        <v>441</v>
      </c>
      <c r="D201" s="11" t="s">
        <v>446</v>
      </c>
      <c r="E201" s="3">
        <v>50</v>
      </c>
      <c r="F201" s="3"/>
      <c r="G201" s="11" t="s">
        <v>426</v>
      </c>
      <c r="H201" s="11" t="s">
        <v>4</v>
      </c>
      <c r="I201" s="11" t="s">
        <v>406</v>
      </c>
      <c r="J201" s="11" t="s">
        <v>399</v>
      </c>
      <c r="K201" s="14" t="s">
        <v>322</v>
      </c>
      <c r="L201" s="6">
        <v>44587.666666666664</v>
      </c>
      <c r="M201" s="11"/>
      <c r="N201" s="11" t="s">
        <v>449</v>
      </c>
    </row>
    <row r="202" spans="1:14" x14ac:dyDescent="0.2">
      <c r="A202" s="7">
        <v>44571</v>
      </c>
      <c r="B202" s="11" t="s">
        <v>323</v>
      </c>
      <c r="C202" s="13" t="s">
        <v>441</v>
      </c>
      <c r="D202" s="11" t="s">
        <v>446</v>
      </c>
      <c r="E202" s="3">
        <v>50</v>
      </c>
      <c r="F202" s="3"/>
      <c r="G202" s="11" t="s">
        <v>324</v>
      </c>
      <c r="H202" s="11" t="s">
        <v>6</v>
      </c>
      <c r="I202" s="11" t="s">
        <v>405</v>
      </c>
      <c r="J202" s="30" t="s">
        <v>400</v>
      </c>
      <c r="K202" s="14" t="s">
        <v>325</v>
      </c>
      <c r="L202" s="6">
        <v>44587.729166666664</v>
      </c>
      <c r="M202" s="11"/>
      <c r="N202" s="11" t="s">
        <v>449</v>
      </c>
    </row>
    <row r="203" spans="1:14" x14ac:dyDescent="0.2">
      <c r="A203" s="7">
        <v>44573</v>
      </c>
      <c r="B203" s="11" t="s">
        <v>103</v>
      </c>
      <c r="C203" s="13" t="s">
        <v>441</v>
      </c>
      <c r="D203" s="11" t="s">
        <v>445</v>
      </c>
      <c r="E203" s="3">
        <v>50</v>
      </c>
      <c r="F203" s="3"/>
      <c r="G203" s="11" t="s">
        <v>326</v>
      </c>
      <c r="H203" s="11" t="s">
        <v>4</v>
      </c>
      <c r="I203" s="11" t="s">
        <v>405</v>
      </c>
      <c r="J203" s="11" t="s">
        <v>401</v>
      </c>
      <c r="K203" s="14" t="s">
        <v>327</v>
      </c>
      <c r="L203" s="6">
        <v>44587.75</v>
      </c>
      <c r="M203" s="11"/>
      <c r="N203" s="11" t="s">
        <v>449</v>
      </c>
    </row>
    <row r="204" spans="1:14" x14ac:dyDescent="0.2">
      <c r="A204" s="7">
        <v>44586</v>
      </c>
      <c r="B204" s="11" t="s">
        <v>5</v>
      </c>
      <c r="C204" s="13" t="s">
        <v>451</v>
      </c>
      <c r="D204" s="11" t="s">
        <v>447</v>
      </c>
      <c r="E204" s="3">
        <v>30</v>
      </c>
      <c r="F204" s="3" t="s">
        <v>429</v>
      </c>
      <c r="G204" s="11"/>
      <c r="H204" s="11" t="s">
        <v>6</v>
      </c>
      <c r="I204" s="11" t="s">
        <v>406</v>
      </c>
      <c r="J204" s="11" t="s">
        <v>365</v>
      </c>
      <c r="K204" s="14" t="s">
        <v>19</v>
      </c>
      <c r="L204" s="6">
        <v>44588.5</v>
      </c>
      <c r="M204" s="11"/>
      <c r="N204" s="11" t="s">
        <v>449</v>
      </c>
    </row>
    <row r="205" spans="1:14" x14ac:dyDescent="0.2">
      <c r="A205" s="7">
        <v>44586</v>
      </c>
      <c r="B205" s="11" t="s">
        <v>5</v>
      </c>
      <c r="C205" s="13" t="s">
        <v>451</v>
      </c>
      <c r="D205" s="11" t="s">
        <v>446</v>
      </c>
      <c r="E205" s="3">
        <v>55</v>
      </c>
      <c r="F205" s="3"/>
      <c r="G205" s="11" t="s">
        <v>328</v>
      </c>
      <c r="H205" s="11" t="s">
        <v>6</v>
      </c>
      <c r="I205" s="11" t="s">
        <v>405</v>
      </c>
      <c r="J205" s="11" t="s">
        <v>365</v>
      </c>
      <c r="K205" s="14" t="s">
        <v>19</v>
      </c>
      <c r="L205" s="6">
        <v>44588.5</v>
      </c>
      <c r="M205" s="11"/>
      <c r="N205" s="11" t="s">
        <v>449</v>
      </c>
    </row>
    <row r="206" spans="1:14" x14ac:dyDescent="0.2">
      <c r="A206" s="7">
        <v>44586</v>
      </c>
      <c r="B206" s="11" t="s">
        <v>5</v>
      </c>
      <c r="C206" s="13" t="s">
        <v>451</v>
      </c>
      <c r="D206" s="11" t="s">
        <v>446</v>
      </c>
      <c r="E206" s="3">
        <v>55</v>
      </c>
      <c r="F206" s="3"/>
      <c r="G206" s="11" t="s">
        <v>329</v>
      </c>
      <c r="H206" s="11" t="s">
        <v>6</v>
      </c>
      <c r="I206" s="11" t="s">
        <v>405</v>
      </c>
      <c r="J206" s="11" t="s">
        <v>365</v>
      </c>
      <c r="K206" s="14" t="s">
        <v>19</v>
      </c>
      <c r="L206" s="6">
        <v>44588.5</v>
      </c>
      <c r="M206" s="11"/>
      <c r="N206" s="11" t="s">
        <v>449</v>
      </c>
    </row>
    <row r="207" spans="1:14" x14ac:dyDescent="0.2">
      <c r="A207" s="7">
        <v>44586</v>
      </c>
      <c r="B207" s="11" t="s">
        <v>5</v>
      </c>
      <c r="C207" s="13" t="s">
        <v>451</v>
      </c>
      <c r="D207" s="11" t="s">
        <v>446</v>
      </c>
      <c r="E207" s="3">
        <v>55</v>
      </c>
      <c r="F207" s="3"/>
      <c r="G207" s="11" t="s">
        <v>428</v>
      </c>
      <c r="H207" s="11" t="s">
        <v>6</v>
      </c>
      <c r="I207" s="11" t="s">
        <v>406</v>
      </c>
      <c r="J207" s="11" t="s">
        <v>365</v>
      </c>
      <c r="K207" s="14" t="s">
        <v>19</v>
      </c>
      <c r="L207" s="6">
        <v>44588.5</v>
      </c>
      <c r="M207" s="11"/>
      <c r="N207" s="11" t="s">
        <v>449</v>
      </c>
    </row>
  </sheetData>
  <autoFilter ref="A1:N207" xr:uid="{0334B7D8-E215-45E6-8649-A933461BEA08}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BBEB-5C55-4E4D-9AE1-BAABBF92332A}">
  <dimension ref="A1:S207"/>
  <sheetViews>
    <sheetView tabSelected="1" topLeftCell="M1" workbookViewId="0">
      <selection activeCell="T30" sqref="T30"/>
    </sheetView>
  </sheetViews>
  <sheetFormatPr baseColWidth="10" defaultColWidth="21.83203125" defaultRowHeight="15" x14ac:dyDescent="0.2"/>
  <cols>
    <col min="2" max="3" width="21.83203125" style="32"/>
    <col min="6" max="6" width="21.83203125" style="36"/>
  </cols>
  <sheetData>
    <row r="1" spans="1:19" ht="16" x14ac:dyDescent="0.2">
      <c r="A1" s="37" t="s">
        <v>0</v>
      </c>
      <c r="B1" s="37" t="s">
        <v>404</v>
      </c>
      <c r="C1" s="37" t="s">
        <v>436</v>
      </c>
      <c r="D1" s="37" t="s">
        <v>435</v>
      </c>
      <c r="E1" s="37" t="s">
        <v>1</v>
      </c>
      <c r="F1" s="38" t="s">
        <v>432</v>
      </c>
      <c r="G1" s="37" t="s">
        <v>413</v>
      </c>
      <c r="H1" s="1" t="s">
        <v>407</v>
      </c>
      <c r="I1" s="1" t="s">
        <v>403</v>
      </c>
      <c r="J1" s="37" t="s">
        <v>409</v>
      </c>
      <c r="K1" s="37" t="s">
        <v>410</v>
      </c>
      <c r="L1" s="37" t="s">
        <v>408</v>
      </c>
      <c r="M1" s="37"/>
      <c r="N1" s="37" t="s">
        <v>2</v>
      </c>
      <c r="O1" s="37" t="s">
        <v>448</v>
      </c>
      <c r="P1" s="39" t="s">
        <v>459</v>
      </c>
      <c r="S1" t="s">
        <v>555</v>
      </c>
    </row>
    <row r="2" spans="1:19" x14ac:dyDescent="0.2">
      <c r="A2" s="7" t="s">
        <v>460</v>
      </c>
      <c r="B2" s="11">
        <v>126</v>
      </c>
      <c r="C2" s="13">
        <v>4</v>
      </c>
      <c r="D2" s="11">
        <v>2</v>
      </c>
      <c r="E2" s="3">
        <v>50</v>
      </c>
      <c r="F2" s="34">
        <v>0</v>
      </c>
      <c r="G2" s="11">
        <v>817</v>
      </c>
      <c r="H2" s="11">
        <v>13</v>
      </c>
      <c r="I2" s="11">
        <v>4</v>
      </c>
      <c r="J2" s="11" t="s">
        <v>330</v>
      </c>
      <c r="K2" s="14" t="s">
        <v>15</v>
      </c>
      <c r="L2" s="6">
        <v>44519.854166666664</v>
      </c>
      <c r="M2" s="6" t="str">
        <f>TEXT(YEAR(L2) &amp;"-" &amp; MONTH(L2) &amp;"-" &amp; DAY(L2) &amp; " " &amp; HOUR(L2) &amp;":" &amp; MINUTE(L2),"YYYY-MM-DD HH:mm")</f>
        <v>2021-11-19 20:30</v>
      </c>
      <c r="N2" s="11" t="s">
        <v>434</v>
      </c>
      <c r="O2" s="11">
        <v>1</v>
      </c>
      <c r="P2">
        <v>130</v>
      </c>
      <c r="Q2" t="s">
        <v>499</v>
      </c>
      <c r="R2" t="s">
        <v>556</v>
      </c>
      <c r="S2" t="str">
        <f>CONCATENATE($S$1, "VALUES ('",B2, "','",M2,"','",D2,"','", G2, "','",N2, "','", "3','",C2, "','","1','0','",O2,"','",E2,"','", Q2,"','", R2, "','", K2, "','", J2, "','",I2, "','",H2, "','0','0','",A2, "','" &amp;F2 &amp;"');")</f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('126','2021-11-19 20:30','2','817','Reposition.','3','4','1','0','1','50','Simon Storey','simon.storey@eurotelonline.com','07768056300','live stock auction house, Bawtry Road, Selby, YO88NB.','4','13','0','0','2021-11-15','0');</v>
      </c>
    </row>
    <row r="3" spans="1:19" x14ac:dyDescent="0.2">
      <c r="A3" s="7" t="s">
        <v>460</v>
      </c>
      <c r="B3" s="11">
        <v>126</v>
      </c>
      <c r="C3" s="13">
        <v>4</v>
      </c>
      <c r="D3" s="11">
        <v>2</v>
      </c>
      <c r="E3" s="3">
        <v>50</v>
      </c>
      <c r="F3" s="34">
        <v>0</v>
      </c>
      <c r="G3" s="11">
        <v>1423</v>
      </c>
      <c r="H3" s="11">
        <v>13</v>
      </c>
      <c r="I3" s="11">
        <v>4</v>
      </c>
      <c r="J3" s="11" t="s">
        <v>330</v>
      </c>
      <c r="K3" s="14" t="s">
        <v>15</v>
      </c>
      <c r="L3" s="6">
        <v>44519.854166666664</v>
      </c>
      <c r="M3" s="6" t="str">
        <f t="shared" ref="M3:M66" si="0">TEXT(YEAR(L3) &amp;"-" &amp; MONTH(L3) &amp;"-" &amp; DAY(L3) &amp; " " &amp; HOUR(L3) &amp;":" &amp; MINUTE(L3),"YYYY-MM-DD HH:mm")</f>
        <v>2021-11-19 20:30</v>
      </c>
      <c r="N3" s="11" t="s">
        <v>434</v>
      </c>
      <c r="O3" s="11">
        <v>1</v>
      </c>
      <c r="P3">
        <v>130</v>
      </c>
      <c r="Q3" t="s">
        <v>499</v>
      </c>
      <c r="R3" t="s">
        <v>556</v>
      </c>
      <c r="S3" t="str">
        <f t="shared" ref="S3:S66" si="1">CONCATENATE($S$1, "VALUES ('",B3, "','",M3,"','",D3,"','", G3, "','",N3, "','", "3','",C3, "','","1','0','",O3,"','",E3,"','", Q3,"','", R3, "','", K3, "','", J3, "','",I3, "','",H3, "','0','0','",A3, "','" &amp;F3 &amp;"');")</f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('126','2021-11-19 20:30','2','1423','Reposition.','3','4','1','0','1','50','Simon Storey','simon.storey@eurotelonline.com','07768056300','live stock auction house, Bawtry Road, Selby, YO88NB.','4','13','0','0','2021-11-15','0');</v>
      </c>
    </row>
    <row r="4" spans="1:19" x14ac:dyDescent="0.2">
      <c r="A4" s="7" t="s">
        <v>460</v>
      </c>
      <c r="B4" s="11">
        <v>126</v>
      </c>
      <c r="C4" s="13">
        <v>4</v>
      </c>
      <c r="D4" s="11">
        <v>2</v>
      </c>
      <c r="E4" s="3">
        <v>50</v>
      </c>
      <c r="F4" s="34">
        <v>0</v>
      </c>
      <c r="G4" s="11">
        <v>818</v>
      </c>
      <c r="H4" s="11">
        <v>13</v>
      </c>
      <c r="I4" s="11">
        <v>4</v>
      </c>
      <c r="J4" s="11" t="s">
        <v>330</v>
      </c>
      <c r="K4" s="14" t="s">
        <v>15</v>
      </c>
      <c r="L4" s="6">
        <v>44519.854166666664</v>
      </c>
      <c r="M4" s="6" t="str">
        <f t="shared" si="0"/>
        <v>2021-11-19 20:30</v>
      </c>
      <c r="N4" s="11" t="s">
        <v>434</v>
      </c>
      <c r="O4" s="11">
        <v>1</v>
      </c>
      <c r="P4">
        <v>130</v>
      </c>
      <c r="Q4" t="s">
        <v>499</v>
      </c>
      <c r="R4" t="s">
        <v>556</v>
      </c>
      <c r="S4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('126','2021-11-19 20:30','2','818','Reposition.','3','4','1','0','1','50','Simon Storey','simon.storey@eurotelonline.com','07768056300','live stock auction house, Bawtry Road, Selby, YO88NB.','4','13','0','0','2021-11-15','0');</v>
      </c>
    </row>
    <row r="5" spans="1:19" x14ac:dyDescent="0.2">
      <c r="A5" s="7" t="s">
        <v>461</v>
      </c>
      <c r="B5" s="11">
        <v>59</v>
      </c>
      <c r="C5" s="13">
        <v>5</v>
      </c>
      <c r="D5" s="11">
        <v>1</v>
      </c>
      <c r="E5" s="3">
        <v>55</v>
      </c>
      <c r="F5" s="34">
        <v>0</v>
      </c>
      <c r="G5" s="11">
        <v>1626</v>
      </c>
      <c r="H5" s="11">
        <v>12</v>
      </c>
      <c r="I5" s="11">
        <v>2</v>
      </c>
      <c r="J5" s="11" t="s">
        <v>331</v>
      </c>
      <c r="K5" s="14" t="s">
        <v>19</v>
      </c>
      <c r="L5" s="6">
        <v>44523.291666666664</v>
      </c>
      <c r="M5" s="6" t="str">
        <f t="shared" si="0"/>
        <v>2021-11-23 07:00</v>
      </c>
      <c r="N5" s="11"/>
      <c r="O5" s="11">
        <v>1</v>
      </c>
      <c r="P5">
        <v>91</v>
      </c>
      <c r="Q5" t="s">
        <v>500</v>
      </c>
      <c r="R5" t="s">
        <v>557</v>
      </c>
      <c r="S5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('59','2021-11-23 07:00','1','1626','','3','5','1','0','1','55','Marc Goldin','info@pandjtransport.co.uk','07399338288','Baird Cl, Hadleigh Road Industrial Estate, Ipswich, IP20UF.','2','12','0','0','2021-11-17','0');</v>
      </c>
    </row>
    <row r="6" spans="1:19" x14ac:dyDescent="0.2">
      <c r="A6" s="7" t="s">
        <v>461</v>
      </c>
      <c r="B6" s="11">
        <v>59</v>
      </c>
      <c r="C6" s="13">
        <v>5</v>
      </c>
      <c r="D6" s="11">
        <v>1</v>
      </c>
      <c r="E6" s="3">
        <v>55</v>
      </c>
      <c r="F6" s="34">
        <v>0</v>
      </c>
      <c r="G6" s="11">
        <v>1627</v>
      </c>
      <c r="H6" s="11">
        <v>12</v>
      </c>
      <c r="I6" s="11">
        <v>2</v>
      </c>
      <c r="J6" s="11" t="s">
        <v>331</v>
      </c>
      <c r="K6" s="14" t="s">
        <v>19</v>
      </c>
      <c r="L6" s="6">
        <v>44523.291666666664</v>
      </c>
      <c r="M6" s="6" t="str">
        <f t="shared" si="0"/>
        <v>2021-11-23 07:00</v>
      </c>
      <c r="N6" s="11"/>
      <c r="O6" s="11">
        <v>1</v>
      </c>
      <c r="P6">
        <v>91</v>
      </c>
      <c r="Q6" t="s">
        <v>500</v>
      </c>
      <c r="R6" t="s">
        <v>557</v>
      </c>
      <c r="S6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('59','2021-11-23 07:00','1','1627','','3','5','1','0','1','55','Marc Goldin','info@pandjtransport.co.uk','07399338288','Baird Cl, Hadleigh Road Industrial Estate, Ipswich, IP20UF.','2','12','0','0','2021-11-17','0');</v>
      </c>
    </row>
    <row r="7" spans="1:19" x14ac:dyDescent="0.2">
      <c r="A7" s="7" t="s">
        <v>462</v>
      </c>
      <c r="B7" s="11">
        <v>59</v>
      </c>
      <c r="C7" s="13">
        <v>5</v>
      </c>
      <c r="D7" s="11">
        <v>1</v>
      </c>
      <c r="E7" s="3">
        <v>55</v>
      </c>
      <c r="F7" s="34">
        <v>0</v>
      </c>
      <c r="G7" s="11">
        <v>1436</v>
      </c>
      <c r="H7" s="11">
        <v>12</v>
      </c>
      <c r="I7" s="11">
        <v>2</v>
      </c>
      <c r="J7" s="11" t="s">
        <v>332</v>
      </c>
      <c r="K7" s="14" t="s">
        <v>19</v>
      </c>
      <c r="L7" s="6">
        <v>44523.395833333336</v>
      </c>
      <c r="M7" s="6" t="str">
        <f t="shared" si="0"/>
        <v>2021-11-23 09:30</v>
      </c>
      <c r="N7" s="11" t="s">
        <v>22</v>
      </c>
      <c r="O7" s="11">
        <v>1</v>
      </c>
      <c r="P7">
        <v>91</v>
      </c>
      <c r="Q7" t="s">
        <v>500</v>
      </c>
      <c r="R7" t="s">
        <v>557</v>
      </c>
      <c r="S7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('59','2021-11-23 09:30','1','1436','Old CP2 ripped out.','3','5','1','0','1','55','Marc Goldin','info@pandjtransport.co.uk','07399338288','Travelodge A47 Roundabout Acle Bypass Acle Norfolk, NR133BE.','2','12','0','0','2021-11-19','0');</v>
      </c>
    </row>
    <row r="8" spans="1:19" x14ac:dyDescent="0.2">
      <c r="A8" s="7" t="s">
        <v>462</v>
      </c>
      <c r="B8" s="33">
        <v>174</v>
      </c>
      <c r="C8" s="31">
        <v>4</v>
      </c>
      <c r="D8" s="11">
        <v>1</v>
      </c>
      <c r="E8" s="3">
        <v>50</v>
      </c>
      <c r="F8" s="34">
        <v>0</v>
      </c>
      <c r="G8" s="11">
        <v>1628</v>
      </c>
      <c r="H8" s="11">
        <v>12</v>
      </c>
      <c r="I8" s="11">
        <v>2</v>
      </c>
      <c r="J8" s="11" t="s">
        <v>333</v>
      </c>
      <c r="K8" s="14" t="s">
        <v>26</v>
      </c>
      <c r="L8" s="6">
        <v>44523.75</v>
      </c>
      <c r="M8" s="6" t="str">
        <f t="shared" si="0"/>
        <v>2021-11-23 18:00</v>
      </c>
      <c r="N8" s="11"/>
      <c r="O8" s="11">
        <v>1</v>
      </c>
      <c r="P8">
        <v>214</v>
      </c>
      <c r="Q8" t="s">
        <v>501</v>
      </c>
      <c r="R8" t="s">
        <v>558</v>
      </c>
      <c r="S8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('174','2021-11-23 18:00','1','1628','','3','4','1','0','1','50','Dragos Visan','cdlogistic2020@gmail.com','07427125801','Crabtree manorway Tuffnells parcel express, DA176BT.','2','12','0','0','2021-11-19','0');</v>
      </c>
    </row>
    <row r="9" spans="1:19" x14ac:dyDescent="0.2">
      <c r="A9" s="7" t="s">
        <v>463</v>
      </c>
      <c r="B9" s="11">
        <v>165</v>
      </c>
      <c r="C9" s="13">
        <v>4</v>
      </c>
      <c r="D9" s="11">
        <v>2</v>
      </c>
      <c r="E9" s="3">
        <v>50</v>
      </c>
      <c r="F9" s="34">
        <v>0</v>
      </c>
      <c r="G9" s="11">
        <v>1520</v>
      </c>
      <c r="H9" s="11">
        <v>13</v>
      </c>
      <c r="I9" s="11">
        <v>2</v>
      </c>
      <c r="J9" s="11" t="s">
        <v>335</v>
      </c>
      <c r="K9" s="14" t="s">
        <v>33</v>
      </c>
      <c r="L9" s="6">
        <v>44524.583333333336</v>
      </c>
      <c r="M9" s="6" t="str">
        <f t="shared" si="0"/>
        <v>2021-11-24 14:00</v>
      </c>
      <c r="N9" s="11"/>
      <c r="O9" s="11">
        <v>1</v>
      </c>
      <c r="P9">
        <v>205</v>
      </c>
      <c r="Q9" t="s">
        <v>502</v>
      </c>
      <c r="R9" t="s">
        <v>559</v>
      </c>
      <c r="S9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('165','2021-11-24 14:00','2','1520','','3','4','1','0','1','50','Andrew Toendepi','admin@authentickare.co.uk','07711284904','53 Lower St, Kettering, NN168BH.','2','13','0','0','2021-11-13','0');</v>
      </c>
    </row>
    <row r="10" spans="1:19" x14ac:dyDescent="0.2">
      <c r="A10" s="7" t="s">
        <v>460</v>
      </c>
      <c r="B10" s="11">
        <v>165</v>
      </c>
      <c r="C10" s="31">
        <v>4</v>
      </c>
      <c r="D10" s="11">
        <v>1</v>
      </c>
      <c r="E10" s="3">
        <v>50</v>
      </c>
      <c r="F10" s="34">
        <v>0</v>
      </c>
      <c r="G10" s="11">
        <v>1629</v>
      </c>
      <c r="H10" s="11">
        <v>13</v>
      </c>
      <c r="I10" s="11">
        <v>2</v>
      </c>
      <c r="J10" s="11" t="s">
        <v>335</v>
      </c>
      <c r="K10" s="14" t="s">
        <v>33</v>
      </c>
      <c r="L10" s="6">
        <v>44524.583333333336</v>
      </c>
      <c r="M10" s="6" t="str">
        <f t="shared" si="0"/>
        <v>2021-11-24 14:00</v>
      </c>
      <c r="N10" s="11"/>
      <c r="O10" s="11">
        <v>1</v>
      </c>
      <c r="P10">
        <v>205</v>
      </c>
      <c r="Q10" t="s">
        <v>502</v>
      </c>
      <c r="R10" t="s">
        <v>559</v>
      </c>
      <c r="S10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('165','2021-11-24 14:00','1','1629','','3','4','1','0','1','50','Andrew Toendepi','admin@authentickare.co.uk','07711284904','53 Lower St, Kettering, NN168BH.','2','13','0','0','2021-11-15','0');</v>
      </c>
    </row>
    <row r="11" spans="1:19" x14ac:dyDescent="0.2">
      <c r="A11" s="7" t="s">
        <v>464</v>
      </c>
      <c r="B11" s="11">
        <v>88</v>
      </c>
      <c r="C11" s="13">
        <v>15</v>
      </c>
      <c r="D11" s="11">
        <v>2</v>
      </c>
      <c r="E11" s="3">
        <v>55</v>
      </c>
      <c r="F11" s="34">
        <v>0</v>
      </c>
      <c r="G11" s="11">
        <v>975</v>
      </c>
      <c r="H11" s="11">
        <v>12</v>
      </c>
      <c r="I11" s="11">
        <v>2</v>
      </c>
      <c r="J11" s="11" t="s">
        <v>334</v>
      </c>
      <c r="K11" s="14" t="s">
        <v>29</v>
      </c>
      <c r="L11" s="6">
        <v>44524.625</v>
      </c>
      <c r="M11" s="6" t="str">
        <f t="shared" si="0"/>
        <v>2021-11-24 15:00</v>
      </c>
      <c r="N11" s="11" t="s">
        <v>30</v>
      </c>
      <c r="O11" s="11">
        <v>1</v>
      </c>
      <c r="P11">
        <v>66</v>
      </c>
      <c r="Q11" t="s">
        <v>503</v>
      </c>
      <c r="R11" t="s">
        <v>560</v>
      </c>
      <c r="S11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('88','2021-11-24 15:00','2','975','The KP1 has stopped working and will need replacing with a CP2 if it can't be repaired.','3','15','1','0','1','55','Russell Gould','RussellGould@toga.co.uk','02085335222','21 Commercial way, Abbey Road Industrial Park, Park Royal, NW107XF.','2','12','0','0','2021-11-18','0');</v>
      </c>
    </row>
    <row r="12" spans="1:19" x14ac:dyDescent="0.2">
      <c r="A12" s="7" t="s">
        <v>464</v>
      </c>
      <c r="B12" s="11">
        <v>177</v>
      </c>
      <c r="C12" s="31">
        <v>4</v>
      </c>
      <c r="D12" s="11">
        <v>1</v>
      </c>
      <c r="E12" s="3">
        <v>50</v>
      </c>
      <c r="F12" s="34">
        <v>0</v>
      </c>
      <c r="G12" s="11">
        <v>1631</v>
      </c>
      <c r="H12" s="11">
        <v>12</v>
      </c>
      <c r="I12" s="11">
        <v>2</v>
      </c>
      <c r="J12" s="11" t="s">
        <v>336</v>
      </c>
      <c r="K12" s="14" t="s">
        <v>37</v>
      </c>
      <c r="L12" s="6">
        <v>44524.666666666664</v>
      </c>
      <c r="M12" s="6" t="str">
        <f t="shared" si="0"/>
        <v>2021-11-24 16:00</v>
      </c>
      <c r="N12" s="11"/>
      <c r="O12" s="11">
        <v>1</v>
      </c>
      <c r="P12">
        <v>229</v>
      </c>
      <c r="Q12" t="s">
        <v>504</v>
      </c>
      <c r="R12" t="s">
        <v>561</v>
      </c>
      <c r="S12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('177','2021-11-24 16:00','1','1631','','3','4','1','0','1','50','Marius ','zmarius87@gmail.com','07947368309','62 Wakemans Hill Ave, London, NW90UJ.','2','12','0','0','2021-11-18','0');</v>
      </c>
    </row>
    <row r="13" spans="1:19" x14ac:dyDescent="0.2">
      <c r="A13" s="7" t="s">
        <v>464</v>
      </c>
      <c r="B13" s="11">
        <v>177</v>
      </c>
      <c r="C13" s="31">
        <v>4</v>
      </c>
      <c r="D13" s="11">
        <v>1</v>
      </c>
      <c r="E13" s="3">
        <v>50</v>
      </c>
      <c r="F13" s="34">
        <v>0</v>
      </c>
      <c r="G13" s="11">
        <v>1630</v>
      </c>
      <c r="H13" s="11">
        <v>12</v>
      </c>
      <c r="I13" s="11">
        <v>2</v>
      </c>
      <c r="J13" s="11" t="s">
        <v>336</v>
      </c>
      <c r="K13" s="14" t="s">
        <v>37</v>
      </c>
      <c r="L13" s="6">
        <v>44524.666666666664</v>
      </c>
      <c r="M13" s="6" t="str">
        <f t="shared" si="0"/>
        <v>2021-11-24 16:00</v>
      </c>
      <c r="N13" s="11"/>
      <c r="O13" s="11">
        <v>1</v>
      </c>
      <c r="P13">
        <v>229</v>
      </c>
      <c r="Q13" t="s">
        <v>504</v>
      </c>
      <c r="R13" t="s">
        <v>561</v>
      </c>
      <c r="S13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('177','2021-11-24 16:00','1','1630','','3','4','1','0','1','50','Marius ','zmarius87@gmail.com','07947368309','62 Wakemans Hill Ave, London, NW90UJ.','2','12','0','0','2021-11-18','0');</v>
      </c>
    </row>
    <row r="14" spans="1:19" x14ac:dyDescent="0.2">
      <c r="A14" s="7" t="s">
        <v>465</v>
      </c>
      <c r="B14" s="11">
        <v>178</v>
      </c>
      <c r="C14" s="31">
        <v>4</v>
      </c>
      <c r="D14" s="11">
        <v>1</v>
      </c>
      <c r="E14" s="3">
        <v>50</v>
      </c>
      <c r="F14" s="34">
        <v>0</v>
      </c>
      <c r="G14" s="11">
        <v>1634</v>
      </c>
      <c r="H14" s="11">
        <v>13</v>
      </c>
      <c r="I14" s="11">
        <v>2</v>
      </c>
      <c r="J14" s="11" t="s">
        <v>337</v>
      </c>
      <c r="K14" s="14" t="s">
        <v>41</v>
      </c>
      <c r="L14" s="6">
        <v>44525.791666666664</v>
      </c>
      <c r="M14" s="6" t="str">
        <f t="shared" si="0"/>
        <v>2021-11-25 19:00</v>
      </c>
      <c r="N14" s="11"/>
      <c r="O14" s="11">
        <v>1</v>
      </c>
      <c r="P14">
        <v>230</v>
      </c>
      <c r="Q14" t="s">
        <v>505</v>
      </c>
      <c r="R14" t="s">
        <v>562</v>
      </c>
      <c r="S14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('178','2021-11-25 19:00','1','1634','','3','4','1','0','1','50','Simon Harrison','simon.harrison@the4allgroup.com','07506611325','Courier Service, Road B, Hawley Park Road east. Mortley Leeds, LS270BN.','2','13','0','0','2021-11-16','0');</v>
      </c>
    </row>
    <row r="15" spans="1:19" x14ac:dyDescent="0.2">
      <c r="A15" s="7" t="s">
        <v>465</v>
      </c>
      <c r="B15" s="11">
        <v>178</v>
      </c>
      <c r="C15" s="31">
        <v>4</v>
      </c>
      <c r="D15" s="11">
        <v>1</v>
      </c>
      <c r="E15" s="3">
        <v>50</v>
      </c>
      <c r="F15" s="34">
        <v>0</v>
      </c>
      <c r="G15" s="11">
        <v>1635</v>
      </c>
      <c r="H15" s="11">
        <v>13</v>
      </c>
      <c r="I15" s="11">
        <v>2</v>
      </c>
      <c r="J15" s="11" t="s">
        <v>337</v>
      </c>
      <c r="K15" s="14" t="s">
        <v>41</v>
      </c>
      <c r="L15" s="6">
        <v>44525.791666666664</v>
      </c>
      <c r="M15" s="6" t="str">
        <f t="shared" si="0"/>
        <v>2021-11-25 19:00</v>
      </c>
      <c r="N15" s="11"/>
      <c r="O15" s="11">
        <v>1</v>
      </c>
      <c r="P15">
        <v>230</v>
      </c>
      <c r="Q15" t="s">
        <v>505</v>
      </c>
      <c r="R15" t="s">
        <v>562</v>
      </c>
      <c r="S15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('178','2021-11-25 19:00','1','1635','','3','4','1','0','1','50','Simon Harrison','simon.harrison@the4allgroup.com','07506611325','Courier Service, Road B, Hawley Park Road east. Mortley Leeds, LS270BN.','2','13','0','0','2021-11-16','0');</v>
      </c>
    </row>
    <row r="16" spans="1:19" x14ac:dyDescent="0.2">
      <c r="A16" s="7" t="s">
        <v>465</v>
      </c>
      <c r="B16" s="11">
        <v>178</v>
      </c>
      <c r="C16" s="31">
        <v>4</v>
      </c>
      <c r="D16" s="11">
        <v>1</v>
      </c>
      <c r="E16" s="3">
        <v>50</v>
      </c>
      <c r="F16" s="34">
        <v>0</v>
      </c>
      <c r="G16" s="11">
        <v>1636</v>
      </c>
      <c r="H16" s="11">
        <v>13</v>
      </c>
      <c r="I16" s="11">
        <v>2</v>
      </c>
      <c r="J16" s="11" t="s">
        <v>337</v>
      </c>
      <c r="K16" s="14" t="s">
        <v>41</v>
      </c>
      <c r="L16" s="6">
        <v>44525.791666666664</v>
      </c>
      <c r="M16" s="6" t="str">
        <f t="shared" si="0"/>
        <v>2021-11-25 19:00</v>
      </c>
      <c r="N16" s="11"/>
      <c r="O16" s="11">
        <v>1</v>
      </c>
      <c r="P16">
        <v>230</v>
      </c>
      <c r="Q16" t="s">
        <v>505</v>
      </c>
      <c r="R16" t="s">
        <v>562</v>
      </c>
      <c r="S16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('178','2021-11-25 19:00','1','1636','','3','4','1','0','1','50','Simon Harrison','simon.harrison@the4allgroup.com','07506611325','Courier Service, Road B, Hawley Park Road east. Mortley Leeds, LS270BN.','2','13','0','0','2021-11-16','0');</v>
      </c>
    </row>
    <row r="17" spans="1:19" x14ac:dyDescent="0.2">
      <c r="A17" s="7" t="s">
        <v>465</v>
      </c>
      <c r="B17" s="11">
        <v>178</v>
      </c>
      <c r="C17" s="31">
        <v>4</v>
      </c>
      <c r="D17" s="11">
        <v>1</v>
      </c>
      <c r="E17" s="3">
        <v>50</v>
      </c>
      <c r="F17" s="34">
        <v>0</v>
      </c>
      <c r="G17" s="11">
        <v>1632</v>
      </c>
      <c r="H17" s="11">
        <v>13</v>
      </c>
      <c r="I17" s="11">
        <v>2</v>
      </c>
      <c r="J17" s="11" t="s">
        <v>337</v>
      </c>
      <c r="K17" s="14" t="s">
        <v>41</v>
      </c>
      <c r="L17" s="6">
        <v>44525.791666666664</v>
      </c>
      <c r="M17" s="6" t="str">
        <f t="shared" si="0"/>
        <v>2021-11-25 19:00</v>
      </c>
      <c r="N17" s="11"/>
      <c r="O17" s="11">
        <v>1</v>
      </c>
      <c r="P17">
        <v>230</v>
      </c>
      <c r="Q17" t="s">
        <v>505</v>
      </c>
      <c r="R17" t="s">
        <v>562</v>
      </c>
      <c r="S17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('178','2021-11-25 19:00','1','1632','','3','4','1','0','1','50','Simon Harrison','simon.harrison@the4allgroup.com','07506611325','Courier Service, Road B, Hawley Park Road east. Mortley Leeds, LS270BN.','2','13','0','0','2021-11-16','0');</v>
      </c>
    </row>
    <row r="18" spans="1:19" x14ac:dyDescent="0.2">
      <c r="A18" s="7" t="s">
        <v>465</v>
      </c>
      <c r="B18" s="11">
        <v>178</v>
      </c>
      <c r="C18" s="31">
        <v>4</v>
      </c>
      <c r="D18" s="11">
        <v>1</v>
      </c>
      <c r="E18" s="3">
        <v>50</v>
      </c>
      <c r="F18" s="34">
        <v>0</v>
      </c>
      <c r="G18" s="11">
        <v>1633</v>
      </c>
      <c r="H18" s="11">
        <v>13</v>
      </c>
      <c r="I18" s="11">
        <v>2</v>
      </c>
      <c r="J18" s="11" t="s">
        <v>337</v>
      </c>
      <c r="K18" s="14" t="s">
        <v>41</v>
      </c>
      <c r="L18" s="6">
        <v>44525.791666666664</v>
      </c>
      <c r="M18" s="6" t="str">
        <f t="shared" si="0"/>
        <v>2021-11-25 19:00</v>
      </c>
      <c r="N18" s="11"/>
      <c r="O18" s="11">
        <v>1</v>
      </c>
      <c r="P18">
        <v>230</v>
      </c>
      <c r="Q18" t="s">
        <v>505</v>
      </c>
      <c r="R18" t="s">
        <v>562</v>
      </c>
      <c r="S18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('178','2021-11-25 19:00','1','1633','','3','4','1','0','1','50','Simon Harrison','simon.harrison@the4allgroup.com','07506611325','Courier Service, Road B, Hawley Park Road east. Mortley Leeds, LS270BN.','2','13','0','0','2021-11-16','0');</v>
      </c>
    </row>
    <row r="19" spans="1:19" x14ac:dyDescent="0.2">
      <c r="A19" s="7" t="s">
        <v>465</v>
      </c>
      <c r="B19" s="11">
        <v>176</v>
      </c>
      <c r="C19" s="31">
        <v>4</v>
      </c>
      <c r="D19" s="11">
        <v>1</v>
      </c>
      <c r="E19" s="3">
        <v>50</v>
      </c>
      <c r="F19" s="34">
        <v>0</v>
      </c>
      <c r="G19" s="11">
        <v>1638</v>
      </c>
      <c r="H19" s="11">
        <v>12</v>
      </c>
      <c r="I19" s="11">
        <v>2</v>
      </c>
      <c r="J19" s="11" t="s">
        <v>340</v>
      </c>
      <c r="K19" s="14" t="s">
        <v>13</v>
      </c>
      <c r="L19" s="6">
        <v>44527.791666666664</v>
      </c>
      <c r="M19" s="6" t="str">
        <f t="shared" si="0"/>
        <v>2021-11-27 19:00</v>
      </c>
      <c r="N19" s="11"/>
      <c r="O19" s="11">
        <v>1</v>
      </c>
      <c r="P19">
        <v>228</v>
      </c>
      <c r="Q19" t="s">
        <v>506</v>
      </c>
      <c r="R19" t="s">
        <v>563</v>
      </c>
      <c r="S19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('176','2021-11-27 19:00','1','1638','','3','4','1','0','1','50','Obi Madunagu','logistics@bloompageconsulting.co.uk','07961648094','Hireco Building, 7a Juliette Way, Purfleet Industrial Estate, RM154YA.','2','12','0','0','2021-11-16','0');</v>
      </c>
    </row>
    <row r="20" spans="1:19" x14ac:dyDescent="0.2">
      <c r="A20" s="7" t="s">
        <v>465</v>
      </c>
      <c r="B20" s="11">
        <v>176</v>
      </c>
      <c r="C20" s="31">
        <v>4</v>
      </c>
      <c r="D20" s="11">
        <v>1</v>
      </c>
      <c r="E20" s="3">
        <v>50</v>
      </c>
      <c r="F20" s="34">
        <v>0</v>
      </c>
      <c r="G20" s="11">
        <v>1639</v>
      </c>
      <c r="H20" s="11">
        <v>12</v>
      </c>
      <c r="I20" s="11">
        <v>2</v>
      </c>
      <c r="J20" s="11" t="s">
        <v>340</v>
      </c>
      <c r="K20" s="14" t="s">
        <v>13</v>
      </c>
      <c r="L20" s="6">
        <v>44527.791666666664</v>
      </c>
      <c r="M20" s="6" t="str">
        <f t="shared" si="0"/>
        <v>2021-11-27 19:00</v>
      </c>
      <c r="N20" s="11"/>
      <c r="O20" s="11">
        <v>1</v>
      </c>
      <c r="P20">
        <v>228</v>
      </c>
      <c r="Q20" t="s">
        <v>506</v>
      </c>
      <c r="R20" t="s">
        <v>563</v>
      </c>
      <c r="S20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('176','2021-11-27 19:00','1','1639','','3','4','1','0','1','50','Obi Madunagu','logistics@bloompageconsulting.co.uk','07961648094','Hireco Building, 7a Juliette Way, Purfleet Industrial Estate, RM154YA.','2','12','0','0','2021-11-16','0');</v>
      </c>
    </row>
    <row r="21" spans="1:19" x14ac:dyDescent="0.2">
      <c r="A21" s="7" t="s">
        <v>460</v>
      </c>
      <c r="B21" s="11">
        <v>179</v>
      </c>
      <c r="C21" s="13">
        <v>4</v>
      </c>
      <c r="D21" s="11">
        <v>1</v>
      </c>
      <c r="E21" s="3">
        <v>50</v>
      </c>
      <c r="F21" s="34">
        <v>0</v>
      </c>
      <c r="G21" s="11">
        <v>1640</v>
      </c>
      <c r="H21" s="11">
        <v>12</v>
      </c>
      <c r="I21" s="11">
        <v>2</v>
      </c>
      <c r="J21" s="11" t="s">
        <v>343</v>
      </c>
      <c r="K21" s="14" t="s">
        <v>69</v>
      </c>
      <c r="L21" s="6">
        <v>44528.375</v>
      </c>
      <c r="M21" s="6" t="str">
        <f t="shared" si="0"/>
        <v>2021-11-28 09:00</v>
      </c>
      <c r="N21" s="11"/>
      <c r="O21" s="11">
        <v>1</v>
      </c>
      <c r="P21">
        <v>234</v>
      </c>
      <c r="Q21" t="s">
        <v>507</v>
      </c>
      <c r="R21" t="s">
        <v>564</v>
      </c>
      <c r="S21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('179','2021-11-28 09:00','1','1640','','3','4','1','0','1','50','Emil Mihaylov','aeon19ltd@gmail.com','07760839611','Pucklechurch, Bristol, BS169QH.','2','12','0','0','2021-11-15','0');</v>
      </c>
    </row>
    <row r="22" spans="1:19" x14ac:dyDescent="0.2">
      <c r="A22" s="7" t="s">
        <v>460</v>
      </c>
      <c r="B22" s="11">
        <v>179</v>
      </c>
      <c r="C22" s="13">
        <v>4</v>
      </c>
      <c r="D22" s="11">
        <v>1</v>
      </c>
      <c r="E22" s="3">
        <v>50</v>
      </c>
      <c r="F22" s="34">
        <v>0</v>
      </c>
      <c r="G22" s="11">
        <v>1643</v>
      </c>
      <c r="H22" s="11">
        <v>12</v>
      </c>
      <c r="I22" s="11">
        <v>2</v>
      </c>
      <c r="J22" s="11" t="s">
        <v>343</v>
      </c>
      <c r="K22" s="14" t="s">
        <v>69</v>
      </c>
      <c r="L22" s="6">
        <v>44528.375</v>
      </c>
      <c r="M22" s="6" t="str">
        <f t="shared" si="0"/>
        <v>2021-11-28 09:00</v>
      </c>
      <c r="N22" s="11"/>
      <c r="O22" s="11">
        <v>1</v>
      </c>
      <c r="P22">
        <v>234</v>
      </c>
      <c r="Q22" t="s">
        <v>507</v>
      </c>
      <c r="R22" t="s">
        <v>564</v>
      </c>
      <c r="S22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('179','2021-11-28 09:00','1','1643','','3','4','1','0','1','50','Emil Mihaylov','aeon19ltd@gmail.com','07760839611','Pucklechurch, Bristol, BS169QH.','2','12','0','0','2021-11-15','0');</v>
      </c>
    </row>
    <row r="23" spans="1:19" x14ac:dyDescent="0.2">
      <c r="A23" s="7" t="s">
        <v>460</v>
      </c>
      <c r="B23" s="11">
        <v>179</v>
      </c>
      <c r="C23" s="13">
        <v>4</v>
      </c>
      <c r="D23" s="11">
        <v>1</v>
      </c>
      <c r="E23" s="3">
        <v>50</v>
      </c>
      <c r="F23" s="34">
        <v>0</v>
      </c>
      <c r="G23" s="11">
        <v>1641</v>
      </c>
      <c r="H23" s="11">
        <v>12</v>
      </c>
      <c r="I23" s="11">
        <v>2</v>
      </c>
      <c r="J23" s="11" t="s">
        <v>343</v>
      </c>
      <c r="K23" s="14" t="s">
        <v>69</v>
      </c>
      <c r="L23" s="6">
        <v>44528.375</v>
      </c>
      <c r="M23" s="6" t="str">
        <f t="shared" si="0"/>
        <v>2021-11-28 09:00</v>
      </c>
      <c r="N23" s="11"/>
      <c r="O23" s="11">
        <v>1</v>
      </c>
      <c r="P23">
        <v>234</v>
      </c>
      <c r="Q23" t="s">
        <v>507</v>
      </c>
      <c r="R23" t="s">
        <v>564</v>
      </c>
      <c r="S23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('179','2021-11-28 09:00','1','1641','','3','4','1','0','1','50','Emil Mihaylov','aeon19ltd@gmail.com','07760839611','Pucklechurch, Bristol, BS169QH.','2','12','0','0','2021-11-15','0');</v>
      </c>
    </row>
    <row r="24" spans="1:19" x14ac:dyDescent="0.2">
      <c r="A24" s="7" t="s">
        <v>460</v>
      </c>
      <c r="B24" s="11">
        <v>179</v>
      </c>
      <c r="C24" s="13">
        <v>4</v>
      </c>
      <c r="D24" s="11">
        <v>1</v>
      </c>
      <c r="E24" s="3">
        <v>50</v>
      </c>
      <c r="F24" s="34">
        <v>0</v>
      </c>
      <c r="G24" s="11">
        <v>1642</v>
      </c>
      <c r="H24" s="11">
        <v>12</v>
      </c>
      <c r="I24" s="11">
        <v>2</v>
      </c>
      <c r="J24" s="11" t="s">
        <v>343</v>
      </c>
      <c r="K24" s="14" t="s">
        <v>69</v>
      </c>
      <c r="L24" s="6">
        <v>44528.375</v>
      </c>
      <c r="M24" s="6" t="str">
        <f t="shared" si="0"/>
        <v>2021-11-28 09:00</v>
      </c>
      <c r="N24" s="11"/>
      <c r="O24" s="11">
        <v>1</v>
      </c>
      <c r="P24">
        <v>234</v>
      </c>
      <c r="Q24" t="s">
        <v>507</v>
      </c>
      <c r="R24" t="s">
        <v>564</v>
      </c>
      <c r="S24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('179','2021-11-28 09:00','1','1642','','3','4','1','0','1','50','Emil Mihaylov','aeon19ltd@gmail.com','07760839611','Pucklechurch, Bristol, BS169QH.','2','12','0','0','2021-11-15','0');</v>
      </c>
    </row>
    <row r="25" spans="1:19" x14ac:dyDescent="0.2">
      <c r="A25" s="7" t="s">
        <v>460</v>
      </c>
      <c r="B25" s="11">
        <v>179</v>
      </c>
      <c r="C25" s="13">
        <v>4</v>
      </c>
      <c r="D25" s="11">
        <v>1</v>
      </c>
      <c r="E25" s="3">
        <v>50</v>
      </c>
      <c r="F25" s="34">
        <v>0</v>
      </c>
      <c r="G25" s="11">
        <v>1644</v>
      </c>
      <c r="H25" s="11">
        <v>12</v>
      </c>
      <c r="I25" s="11">
        <v>2</v>
      </c>
      <c r="J25" s="11" t="s">
        <v>343</v>
      </c>
      <c r="K25" s="14" t="s">
        <v>69</v>
      </c>
      <c r="L25" s="6">
        <v>44528.375</v>
      </c>
      <c r="M25" s="6" t="str">
        <f t="shared" si="0"/>
        <v>2021-11-28 09:00</v>
      </c>
      <c r="N25" s="11"/>
      <c r="O25" s="11">
        <v>1</v>
      </c>
      <c r="P25">
        <v>234</v>
      </c>
      <c r="Q25" t="s">
        <v>507</v>
      </c>
      <c r="R25" t="s">
        <v>564</v>
      </c>
      <c r="S25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('179','2021-11-28 09:00','1','1644','','3','4','1','0','1','50','Emil Mihaylov','aeon19ltd@gmail.com','07760839611','Pucklechurch, Bristol, BS169QH.','2','12','0','0','2021-11-15','0');</v>
      </c>
    </row>
    <row r="26" spans="1:19" x14ac:dyDescent="0.2">
      <c r="A26" s="7" t="s">
        <v>462</v>
      </c>
      <c r="B26" s="11">
        <v>105</v>
      </c>
      <c r="C26" s="31">
        <v>4</v>
      </c>
      <c r="D26" s="11">
        <v>1</v>
      </c>
      <c r="E26" s="3">
        <v>50</v>
      </c>
      <c r="F26" s="34">
        <v>0</v>
      </c>
      <c r="G26" s="11">
        <v>1637</v>
      </c>
      <c r="H26" s="11">
        <v>13</v>
      </c>
      <c r="I26" s="11">
        <v>4</v>
      </c>
      <c r="J26" s="11" t="s">
        <v>342</v>
      </c>
      <c r="K26" s="14" t="s">
        <v>66</v>
      </c>
      <c r="L26" s="6">
        <v>44528.5625</v>
      </c>
      <c r="M26" s="6" t="str">
        <f t="shared" si="0"/>
        <v>2021-11-28 13:30</v>
      </c>
      <c r="N26" s="11"/>
      <c r="O26" s="11">
        <v>1</v>
      </c>
      <c r="S26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('105','2021-11-28 13:30','1','1637','','3','4','1','0','1','50','','','07725207463','Overwood, Woodcote Ln, Woodcote Green, Bromsgrove, B619EE.','4','13','0','0','2021-11-19','0');</v>
      </c>
    </row>
    <row r="27" spans="1:19" x14ac:dyDescent="0.2">
      <c r="A27" s="7" t="s">
        <v>464</v>
      </c>
      <c r="B27" s="11">
        <v>56</v>
      </c>
      <c r="C27" s="13">
        <v>6</v>
      </c>
      <c r="D27" s="11">
        <v>2</v>
      </c>
      <c r="E27" s="3">
        <v>50</v>
      </c>
      <c r="F27" s="34">
        <v>0</v>
      </c>
      <c r="G27" s="11">
        <v>479</v>
      </c>
      <c r="H27" s="11">
        <v>12</v>
      </c>
      <c r="I27" s="11">
        <v>2</v>
      </c>
      <c r="J27" s="11" t="s">
        <v>339</v>
      </c>
      <c r="K27" s="14" t="s">
        <v>54</v>
      </c>
      <c r="L27" s="6">
        <v>44528.583333333336</v>
      </c>
      <c r="M27" s="6" t="str">
        <f t="shared" si="0"/>
        <v>2021-11-28 14:00</v>
      </c>
      <c r="N27" s="11" t="s">
        <v>55</v>
      </c>
      <c r="O27" s="11">
        <v>1</v>
      </c>
      <c r="P27">
        <v>84</v>
      </c>
      <c r="Q27" t="s">
        <v>508</v>
      </c>
      <c r="R27" t="s">
        <v>565</v>
      </c>
      <c r="S27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('56','2021-11-28 14:00','2','479','Not connected recently. May need replacing.','3','6','1','0','1','50','Danny Coleman','info@colemantransport.co.uk','07578264979','The Breeches, Galley Hill, Waltham Abbey, EN92AG.','2','12','0','0','2021-11-18','0');</v>
      </c>
    </row>
    <row r="28" spans="1:19" x14ac:dyDescent="0.2">
      <c r="A28" s="7" t="s">
        <v>464</v>
      </c>
      <c r="B28" s="11">
        <v>56</v>
      </c>
      <c r="C28" s="13">
        <v>6</v>
      </c>
      <c r="D28" s="11">
        <v>2</v>
      </c>
      <c r="E28" s="3">
        <v>50</v>
      </c>
      <c r="F28" s="34">
        <v>0</v>
      </c>
      <c r="G28" s="11">
        <v>477</v>
      </c>
      <c r="H28" s="11">
        <v>12</v>
      </c>
      <c r="I28" s="11">
        <v>2</v>
      </c>
      <c r="J28" s="11" t="s">
        <v>339</v>
      </c>
      <c r="K28" s="14" t="s">
        <v>54</v>
      </c>
      <c r="L28" s="6">
        <v>44528.583333333336</v>
      </c>
      <c r="M28" s="6" t="str">
        <f t="shared" si="0"/>
        <v>2021-11-28 14:00</v>
      </c>
      <c r="N28" s="11" t="s">
        <v>57</v>
      </c>
      <c r="O28" s="11">
        <v>1</v>
      </c>
      <c r="P28">
        <v>84</v>
      </c>
      <c r="Q28" t="s">
        <v>508</v>
      </c>
      <c r="R28" t="s">
        <v>565</v>
      </c>
      <c r="S28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('56','2021-11-28 14:00','2','477','Side camera not showing.','3','6','1','0','1','50','Danny Coleman','info@colemantransport.co.uk','07578264979','The Breeches, Galley Hill, Waltham Abbey, EN92AG.','2','12','0','0','2021-11-18','0');</v>
      </c>
    </row>
    <row r="29" spans="1:19" x14ac:dyDescent="0.2">
      <c r="A29" s="7" t="s">
        <v>462</v>
      </c>
      <c r="B29" s="11">
        <v>141</v>
      </c>
      <c r="C29" s="13">
        <v>29</v>
      </c>
      <c r="D29" s="11">
        <v>2</v>
      </c>
      <c r="E29" s="3">
        <v>0</v>
      </c>
      <c r="F29" s="34">
        <v>0</v>
      </c>
      <c r="G29" s="11">
        <v>1589</v>
      </c>
      <c r="H29" s="11">
        <v>13</v>
      </c>
      <c r="I29" s="11">
        <v>4</v>
      </c>
      <c r="J29" s="11" t="s">
        <v>341</v>
      </c>
      <c r="K29" s="14" t="s">
        <v>62</v>
      </c>
      <c r="L29" s="6">
        <v>44528.614583333336</v>
      </c>
      <c r="M29" s="6" t="str">
        <f t="shared" si="0"/>
        <v>2021-11-28 14:45</v>
      </c>
      <c r="N29" s="11" t="s">
        <v>63</v>
      </c>
      <c r="O29" s="11">
        <v>1</v>
      </c>
      <c r="S29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('141','2021-11-28 14:45','2','1589','Hardwire OBD to ignition.','3','29','1','0','1','0','','','07739700510','11 Westbourne Road, Solihull, B928AT.','4','13','0','0','2021-11-19','0');</v>
      </c>
    </row>
    <row r="30" spans="1:19" x14ac:dyDescent="0.2">
      <c r="A30" s="7" t="s">
        <v>461</v>
      </c>
      <c r="B30" s="11">
        <v>108</v>
      </c>
      <c r="C30" s="13">
        <v>4</v>
      </c>
      <c r="D30" s="11">
        <v>2</v>
      </c>
      <c r="E30" s="3">
        <v>50</v>
      </c>
      <c r="F30" s="34">
        <v>0</v>
      </c>
      <c r="G30" s="11">
        <v>870</v>
      </c>
      <c r="H30" s="11">
        <v>13</v>
      </c>
      <c r="I30" s="11">
        <v>4</v>
      </c>
      <c r="J30" s="11" t="s">
        <v>338</v>
      </c>
      <c r="K30" s="14" t="s">
        <v>48</v>
      </c>
      <c r="L30" s="6">
        <v>44528.666666666664</v>
      </c>
      <c r="M30" s="6" t="str">
        <f t="shared" si="0"/>
        <v>2021-11-28 16:00</v>
      </c>
      <c r="N30" s="11" t="s">
        <v>434</v>
      </c>
      <c r="O30" s="11">
        <v>1</v>
      </c>
      <c r="P30">
        <v>144</v>
      </c>
      <c r="Q30" t="s">
        <v>509</v>
      </c>
      <c r="R30" t="s">
        <v>566</v>
      </c>
      <c r="S30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('108','2021-11-28 16:00','2','870','Reposition.','3','4','1','0','1','50','Steve Clarke','Steve.Clarke@profilehandling.co.uk','01212462227','68-80 Montgomery St, Birmingham, B111DT.','4','13','0','0','2021-11-17','0');</v>
      </c>
    </row>
    <row r="31" spans="1:19" x14ac:dyDescent="0.2">
      <c r="A31" s="7" t="s">
        <v>461</v>
      </c>
      <c r="B31" s="11">
        <v>108</v>
      </c>
      <c r="C31" s="13">
        <v>4</v>
      </c>
      <c r="D31" s="11">
        <v>2</v>
      </c>
      <c r="E31" s="3">
        <v>50</v>
      </c>
      <c r="F31" s="34">
        <v>0</v>
      </c>
      <c r="G31" s="11">
        <v>871</v>
      </c>
      <c r="H31" s="11">
        <v>13</v>
      </c>
      <c r="I31" s="11">
        <v>4</v>
      </c>
      <c r="J31" s="11" t="s">
        <v>338</v>
      </c>
      <c r="K31" s="14" t="s">
        <v>48</v>
      </c>
      <c r="L31" s="6">
        <v>44528.666666666664</v>
      </c>
      <c r="M31" s="6" t="str">
        <f t="shared" si="0"/>
        <v>2021-11-28 16:00</v>
      </c>
      <c r="N31" s="11" t="s">
        <v>434</v>
      </c>
      <c r="O31" s="11">
        <v>1</v>
      </c>
      <c r="P31">
        <v>144</v>
      </c>
      <c r="Q31" t="s">
        <v>509</v>
      </c>
      <c r="R31" t="s">
        <v>566</v>
      </c>
      <c r="S31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('108','2021-11-28 16:00','2','871','Reposition.','3','4','1','0','1','50','Steve Clarke','Steve.Clarke@profilehandling.co.uk','01212462227','68-80 Montgomery St, Birmingham, B111DT.','4','13','0','0','2021-11-17','0');</v>
      </c>
    </row>
    <row r="32" spans="1:19" x14ac:dyDescent="0.2">
      <c r="A32" s="7" t="s">
        <v>461</v>
      </c>
      <c r="B32" s="11">
        <v>108</v>
      </c>
      <c r="C32" s="13">
        <v>4</v>
      </c>
      <c r="D32" s="11">
        <v>2</v>
      </c>
      <c r="E32" s="3">
        <v>50</v>
      </c>
      <c r="F32" s="34">
        <v>0</v>
      </c>
      <c r="G32" s="11">
        <v>872</v>
      </c>
      <c r="H32" s="11">
        <v>13</v>
      </c>
      <c r="I32" s="11">
        <v>4</v>
      </c>
      <c r="J32" s="11" t="s">
        <v>338</v>
      </c>
      <c r="K32" s="14" t="s">
        <v>48</v>
      </c>
      <c r="L32" s="6">
        <v>44528.666666666664</v>
      </c>
      <c r="M32" s="6" t="str">
        <f t="shared" si="0"/>
        <v>2021-11-28 16:00</v>
      </c>
      <c r="N32" s="11" t="s">
        <v>434</v>
      </c>
      <c r="O32" s="11">
        <v>1</v>
      </c>
      <c r="P32">
        <v>144</v>
      </c>
      <c r="Q32" t="s">
        <v>509</v>
      </c>
      <c r="R32" t="s">
        <v>566</v>
      </c>
      <c r="S32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('108','2021-11-28 16:00','2','872','Reposition.','3','4','1','0','1','50','Steve Clarke','Steve.Clarke@profilehandling.co.uk','01212462227','68-80 Montgomery St, Birmingham, B111DT.','4','13','0','0','2021-11-17','0');</v>
      </c>
    </row>
    <row r="33" spans="1:19" x14ac:dyDescent="0.2">
      <c r="A33" s="7" t="s">
        <v>461</v>
      </c>
      <c r="B33" s="11">
        <v>108</v>
      </c>
      <c r="C33" s="13">
        <v>4</v>
      </c>
      <c r="D33" s="11">
        <v>2</v>
      </c>
      <c r="E33" s="3">
        <v>50</v>
      </c>
      <c r="F33" s="34">
        <v>0</v>
      </c>
      <c r="G33" s="11">
        <v>873</v>
      </c>
      <c r="H33" s="11">
        <v>13</v>
      </c>
      <c r="I33" s="11">
        <v>4</v>
      </c>
      <c r="J33" s="11" t="s">
        <v>338</v>
      </c>
      <c r="K33" s="14" t="s">
        <v>48</v>
      </c>
      <c r="L33" s="6">
        <v>44528.666666666664</v>
      </c>
      <c r="M33" s="6" t="str">
        <f t="shared" si="0"/>
        <v>2021-11-28 16:00</v>
      </c>
      <c r="N33" s="11" t="s">
        <v>434</v>
      </c>
      <c r="O33" s="11">
        <v>1</v>
      </c>
      <c r="P33">
        <v>144</v>
      </c>
      <c r="Q33" t="s">
        <v>509</v>
      </c>
      <c r="R33" t="s">
        <v>566</v>
      </c>
      <c r="S33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('108','2021-11-28 16:00','2','873','Reposition.','3','4','1','0','1','50','Steve Clarke','Steve.Clarke@profilehandling.co.uk','01212462227','68-80 Montgomery St, Birmingham, B111DT.','4','13','0','0','2021-11-17','0');</v>
      </c>
    </row>
    <row r="34" spans="1:19" x14ac:dyDescent="0.2">
      <c r="A34" s="7" t="s">
        <v>466</v>
      </c>
      <c r="B34" s="11">
        <v>158</v>
      </c>
      <c r="C34" s="13">
        <v>4</v>
      </c>
      <c r="D34" s="11">
        <v>2</v>
      </c>
      <c r="E34" s="3">
        <v>50</v>
      </c>
      <c r="F34" s="34">
        <v>0</v>
      </c>
      <c r="G34" s="11">
        <v>1397</v>
      </c>
      <c r="H34" s="11">
        <v>13</v>
      </c>
      <c r="I34" s="11">
        <v>2</v>
      </c>
      <c r="J34" s="11" t="s">
        <v>344</v>
      </c>
      <c r="K34" s="14" t="s">
        <v>76</v>
      </c>
      <c r="L34" s="6">
        <v>44529.75</v>
      </c>
      <c r="M34" s="6" t="str">
        <f t="shared" si="0"/>
        <v>2021-11-29 18:00</v>
      </c>
      <c r="N34" s="11"/>
      <c r="O34" s="11">
        <v>1</v>
      </c>
      <c r="P34">
        <v>163</v>
      </c>
      <c r="Q34" t="s">
        <v>510</v>
      </c>
      <c r="R34" t="s">
        <v>567</v>
      </c>
      <c r="S34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('158','2021-11-29 18:00','2','1397','','3','4','1','0','1','50','Dean Benson','diamond2umanchester@gmail.com','07592167912','DX freight, Roach bank road, pilsworth industrial estate, BL98RQ.','2','13','0','0','2021-11-22','0');</v>
      </c>
    </row>
    <row r="35" spans="1:19" x14ac:dyDescent="0.2">
      <c r="A35" s="7" t="s">
        <v>466</v>
      </c>
      <c r="B35" s="11">
        <v>158</v>
      </c>
      <c r="C35" s="13">
        <v>4</v>
      </c>
      <c r="D35" s="11">
        <v>2</v>
      </c>
      <c r="E35" s="3">
        <v>50</v>
      </c>
      <c r="F35" s="34">
        <v>0</v>
      </c>
      <c r="G35" s="11">
        <v>1396</v>
      </c>
      <c r="H35" s="11">
        <v>13</v>
      </c>
      <c r="I35" s="11">
        <v>2</v>
      </c>
      <c r="J35" s="11" t="s">
        <v>344</v>
      </c>
      <c r="K35" s="14" t="s">
        <v>76</v>
      </c>
      <c r="L35" s="6">
        <v>44529.75</v>
      </c>
      <c r="M35" s="6" t="str">
        <f t="shared" si="0"/>
        <v>2021-11-29 18:00</v>
      </c>
      <c r="N35" s="11" t="s">
        <v>78</v>
      </c>
      <c r="O35" s="11">
        <v>1</v>
      </c>
      <c r="P35">
        <v>163</v>
      </c>
      <c r="Q35" t="s">
        <v>510</v>
      </c>
      <c r="R35" t="s">
        <v>567</v>
      </c>
      <c r="S35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('158','2021-11-29 18:00','2','1396','MT20HKM swapped by mistake.','3','4','1','0','1','50','Dean Benson','diamond2umanchester@gmail.com','07592167912','DX freight, Roach bank road, pilsworth industrial estate, BL98RQ.','2','13','0','0','2021-11-22','0');</v>
      </c>
    </row>
    <row r="36" spans="1:19" x14ac:dyDescent="0.2">
      <c r="A36" s="7" t="s">
        <v>466</v>
      </c>
      <c r="B36" s="11">
        <v>158</v>
      </c>
      <c r="C36" s="13">
        <v>4</v>
      </c>
      <c r="D36" s="11">
        <v>2</v>
      </c>
      <c r="E36" s="3">
        <v>50</v>
      </c>
      <c r="F36" s="34">
        <v>0</v>
      </c>
      <c r="G36" s="11">
        <v>1390</v>
      </c>
      <c r="H36" s="11">
        <v>13</v>
      </c>
      <c r="I36" s="11">
        <v>2</v>
      </c>
      <c r="J36" s="11" t="s">
        <v>344</v>
      </c>
      <c r="K36" s="14" t="s">
        <v>76</v>
      </c>
      <c r="L36" s="6">
        <v>44529.75</v>
      </c>
      <c r="M36" s="6" t="str">
        <f t="shared" si="0"/>
        <v>2021-11-29 18:00</v>
      </c>
      <c r="N36" s="11"/>
      <c r="O36" s="11">
        <v>1</v>
      </c>
      <c r="P36">
        <v>163</v>
      </c>
      <c r="Q36" t="s">
        <v>510</v>
      </c>
      <c r="R36" t="s">
        <v>567</v>
      </c>
      <c r="S36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('158','2021-11-29 18:00','2','1390','','3','4','1','0','1','50','Dean Benson','diamond2umanchester@gmail.com','07592167912','DX freight, Roach bank road, pilsworth industrial estate, BL98RQ.','2','13','0','0','2021-11-22','0');</v>
      </c>
    </row>
    <row r="37" spans="1:19" x14ac:dyDescent="0.2">
      <c r="A37" s="7" t="s">
        <v>466</v>
      </c>
      <c r="B37" s="11">
        <v>158</v>
      </c>
      <c r="C37" s="31">
        <v>4</v>
      </c>
      <c r="D37" s="11">
        <v>1</v>
      </c>
      <c r="E37" s="3">
        <v>50</v>
      </c>
      <c r="F37" s="34">
        <v>0</v>
      </c>
      <c r="G37" s="11">
        <v>1645</v>
      </c>
      <c r="H37" s="11">
        <v>13</v>
      </c>
      <c r="I37" s="11">
        <v>3</v>
      </c>
      <c r="J37" s="11" t="s">
        <v>344</v>
      </c>
      <c r="K37" s="14" t="s">
        <v>76</v>
      </c>
      <c r="L37" s="6">
        <v>44529.75</v>
      </c>
      <c r="M37" s="6" t="str">
        <f t="shared" si="0"/>
        <v>2021-11-29 18:00</v>
      </c>
      <c r="N37" s="11"/>
      <c r="O37" s="11">
        <v>1</v>
      </c>
      <c r="P37">
        <v>163</v>
      </c>
      <c r="Q37" t="s">
        <v>510</v>
      </c>
      <c r="R37" t="s">
        <v>567</v>
      </c>
      <c r="S37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('158','2021-11-29 18:00','1','1645','','3','4','1','0','1','50','Dean Benson','diamond2umanchester@gmail.com','07592167912','DX freight, Roach bank road, pilsworth industrial estate, BL98RQ.','3','13','0','0','2021-11-22','0');</v>
      </c>
    </row>
    <row r="38" spans="1:19" x14ac:dyDescent="0.2">
      <c r="A38" s="7" t="s">
        <v>467</v>
      </c>
      <c r="B38" s="11">
        <v>59</v>
      </c>
      <c r="C38" s="13">
        <v>5</v>
      </c>
      <c r="D38" s="11">
        <v>3</v>
      </c>
      <c r="E38" s="3">
        <v>30</v>
      </c>
      <c r="F38" s="34">
        <v>1366</v>
      </c>
      <c r="G38" s="34">
        <v>0</v>
      </c>
      <c r="H38" s="11">
        <v>12</v>
      </c>
      <c r="I38" s="11">
        <v>4</v>
      </c>
      <c r="J38" s="11" t="s">
        <v>345</v>
      </c>
      <c r="K38" s="14" t="s">
        <v>81</v>
      </c>
      <c r="L38" s="6">
        <v>44530.708333333336</v>
      </c>
      <c r="M38" s="6" t="str">
        <f t="shared" si="0"/>
        <v>2021-11-30 17:00</v>
      </c>
      <c r="N38" s="11"/>
      <c r="O38" s="11">
        <v>1</v>
      </c>
      <c r="P38">
        <v>91</v>
      </c>
      <c r="Q38" t="s">
        <v>500</v>
      </c>
      <c r="R38" t="s">
        <v>557</v>
      </c>
      <c r="S38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('59','2021-11-30 17:00','3','0','','3','5','1','0','1','30','Marc Goldin','info@pandjtransport.co.uk','07385825590','Yodel Waltham Cross G Park, 6 Mollison Ave, Waltham Cross, EN37XQ.','4','12','0','0','2021-11-24','1366');</v>
      </c>
    </row>
    <row r="39" spans="1:19" x14ac:dyDescent="0.2">
      <c r="A39" s="7" t="s">
        <v>467</v>
      </c>
      <c r="B39" s="11">
        <v>59</v>
      </c>
      <c r="C39" s="13">
        <v>5</v>
      </c>
      <c r="D39" s="11">
        <v>1</v>
      </c>
      <c r="E39" s="3">
        <v>55</v>
      </c>
      <c r="F39" s="34">
        <v>0</v>
      </c>
      <c r="G39" s="11">
        <v>1647</v>
      </c>
      <c r="H39" s="11">
        <v>12</v>
      </c>
      <c r="I39" s="11">
        <v>4</v>
      </c>
      <c r="J39" s="11" t="s">
        <v>345</v>
      </c>
      <c r="K39" s="14" t="s">
        <v>81</v>
      </c>
      <c r="L39" s="6">
        <v>44530.708333333336</v>
      </c>
      <c r="M39" s="6" t="str">
        <f t="shared" si="0"/>
        <v>2021-11-30 17:00</v>
      </c>
      <c r="N39" s="11"/>
      <c r="O39" s="11">
        <v>1</v>
      </c>
      <c r="P39">
        <v>91</v>
      </c>
      <c r="Q39" t="s">
        <v>500</v>
      </c>
      <c r="R39" t="s">
        <v>557</v>
      </c>
      <c r="S39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('59','2021-11-30 17:00','1','1647','','3','5','1','0','1','55','Marc Goldin','info@pandjtransport.co.uk','07385825590','Yodel Waltham Cross G Park, 6 Mollison Ave, Waltham Cross, EN37XQ.','4','12','0','0','2021-11-24','0');</v>
      </c>
    </row>
    <row r="40" spans="1:19" x14ac:dyDescent="0.2">
      <c r="A40" s="7" t="s">
        <v>468</v>
      </c>
      <c r="B40" s="32">
        <v>75</v>
      </c>
      <c r="C40" s="13">
        <v>5</v>
      </c>
      <c r="D40" s="11">
        <v>1</v>
      </c>
      <c r="E40" s="3">
        <v>55</v>
      </c>
      <c r="F40" s="34">
        <v>0</v>
      </c>
      <c r="G40" s="11">
        <v>1648</v>
      </c>
      <c r="H40" s="11">
        <v>12</v>
      </c>
      <c r="I40" s="11">
        <v>3</v>
      </c>
      <c r="J40" s="11" t="s">
        <v>346</v>
      </c>
      <c r="K40" s="14" t="s">
        <v>84</v>
      </c>
      <c r="L40" s="6">
        <v>44531.291666666664</v>
      </c>
      <c r="M40" s="6" t="str">
        <f t="shared" si="0"/>
        <v>2021-12-01 07:00</v>
      </c>
      <c r="N40" s="11"/>
      <c r="O40" s="11">
        <v>1</v>
      </c>
      <c r="P40">
        <v>111</v>
      </c>
      <c r="Q40" t="s">
        <v>511</v>
      </c>
      <c r="R40" t="s">
        <v>568</v>
      </c>
      <c r="S40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('75','2021-12-01 07:00','1','1648','','3','5','1','0','1','55','Sadir Hassan','s.hassan@simbazgroup.com','07312000296','Unit 5 Constable Crescent, Tottenham, N154QZ.','3','12','0','0','2021-11-23','0');</v>
      </c>
    </row>
    <row r="41" spans="1:19" x14ac:dyDescent="0.2">
      <c r="A41" s="7" t="s">
        <v>465</v>
      </c>
      <c r="B41" s="11">
        <v>12</v>
      </c>
      <c r="C41" s="13">
        <v>15</v>
      </c>
      <c r="D41" s="11">
        <v>2</v>
      </c>
      <c r="E41" s="3">
        <v>55</v>
      </c>
      <c r="F41" s="34">
        <v>0</v>
      </c>
      <c r="G41" s="11">
        <v>96</v>
      </c>
      <c r="H41" s="11">
        <v>12</v>
      </c>
      <c r="I41" s="11">
        <v>2</v>
      </c>
      <c r="J41" s="11" t="s">
        <v>347</v>
      </c>
      <c r="K41" s="14" t="s">
        <v>87</v>
      </c>
      <c r="L41" s="6">
        <v>44531.416666666664</v>
      </c>
      <c r="M41" s="6" t="str">
        <f t="shared" si="0"/>
        <v>2021-12-01 10:00</v>
      </c>
      <c r="N41" s="11" t="s">
        <v>88</v>
      </c>
      <c r="O41" s="11">
        <v>1</v>
      </c>
      <c r="P41">
        <v>11</v>
      </c>
      <c r="Q41" t="s">
        <v>512</v>
      </c>
      <c r="R41" t="s">
        <v>569</v>
      </c>
      <c r="S41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('12','2021-12-01 10:00','2','96','The KP1 has stopped working and will need replacing with a CP2 if it can't be repaired. Available from 08:00 - 16:00.','3','15','1','0','1','55','Mark Barlow','mark.barlow@barlows-electrical.com','03303110999','5 Parkhouse Business Centre, Desborough Park Road, High Wycombe, Bucks, HP123DJ.','2','12','0','0','2021-11-16','0');</v>
      </c>
    </row>
    <row r="42" spans="1:19" x14ac:dyDescent="0.2">
      <c r="A42" s="7" t="s">
        <v>468</v>
      </c>
      <c r="B42" s="33">
        <v>180</v>
      </c>
      <c r="C42" s="31">
        <v>4</v>
      </c>
      <c r="D42" s="11">
        <v>1</v>
      </c>
      <c r="E42" s="3">
        <v>50</v>
      </c>
      <c r="F42" s="34">
        <v>0</v>
      </c>
      <c r="G42" s="11">
        <v>1652</v>
      </c>
      <c r="H42" s="11">
        <v>12</v>
      </c>
      <c r="I42" s="11">
        <v>2</v>
      </c>
      <c r="J42" s="11" t="s">
        <v>348</v>
      </c>
      <c r="K42" s="14" t="s">
        <v>92</v>
      </c>
      <c r="L42" s="6">
        <v>44531.708333333336</v>
      </c>
      <c r="M42" s="6" t="str">
        <f t="shared" si="0"/>
        <v>2021-12-01 17:00</v>
      </c>
      <c r="N42" s="11"/>
      <c r="O42" s="11">
        <v>1</v>
      </c>
      <c r="P42">
        <v>236</v>
      </c>
      <c r="Q42" t="s">
        <v>513</v>
      </c>
      <c r="R42" t="s">
        <v>570</v>
      </c>
      <c r="S42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('180','2021-12-01 17:00','1','1652','','3','4','1','0','1','50','Greg Eoff','gregroff@hotmail.co.uk','07545315240','Unit E, 209 Manor Road, Erith, DA82AD.','2','12','0','0','2021-11-23','0');</v>
      </c>
    </row>
    <row r="43" spans="1:19" x14ac:dyDescent="0.2">
      <c r="A43" s="7" t="s">
        <v>468</v>
      </c>
      <c r="B43" s="33">
        <v>180</v>
      </c>
      <c r="C43" s="31">
        <v>4</v>
      </c>
      <c r="D43" s="11">
        <v>1</v>
      </c>
      <c r="E43" s="3">
        <v>50</v>
      </c>
      <c r="F43" s="34">
        <v>0</v>
      </c>
      <c r="G43" s="11">
        <v>1651</v>
      </c>
      <c r="H43" s="11">
        <v>12</v>
      </c>
      <c r="I43" s="11">
        <v>2</v>
      </c>
      <c r="J43" s="11" t="s">
        <v>348</v>
      </c>
      <c r="K43" s="14" t="s">
        <v>92</v>
      </c>
      <c r="L43" s="6">
        <v>44531.708333333336</v>
      </c>
      <c r="M43" s="6" t="str">
        <f t="shared" si="0"/>
        <v>2021-12-01 17:00</v>
      </c>
      <c r="N43" s="11"/>
      <c r="O43" s="11">
        <v>1</v>
      </c>
      <c r="P43">
        <v>236</v>
      </c>
      <c r="Q43" t="s">
        <v>513</v>
      </c>
      <c r="R43" t="s">
        <v>570</v>
      </c>
      <c r="S43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('180','2021-12-01 17:00','1','1651','','3','4','1','0','1','50','Greg Eoff','gregroff@hotmail.co.uk','07545315240','Unit E, 209 Manor Road, Erith, DA82AD.','2','12','0','0','2021-11-23','0');</v>
      </c>
    </row>
    <row r="44" spans="1:19" x14ac:dyDescent="0.2">
      <c r="A44" s="7" t="s">
        <v>468</v>
      </c>
      <c r="B44" s="33">
        <v>180</v>
      </c>
      <c r="C44" s="31">
        <v>4</v>
      </c>
      <c r="D44" s="11">
        <v>1</v>
      </c>
      <c r="E44" s="3">
        <v>50</v>
      </c>
      <c r="F44" s="34">
        <v>0</v>
      </c>
      <c r="G44" s="11">
        <v>1650</v>
      </c>
      <c r="H44" s="11">
        <v>12</v>
      </c>
      <c r="I44" s="11">
        <v>2</v>
      </c>
      <c r="J44" s="11" t="s">
        <v>348</v>
      </c>
      <c r="K44" s="14" t="s">
        <v>92</v>
      </c>
      <c r="L44" s="6">
        <v>44531.708333333336</v>
      </c>
      <c r="M44" s="6" t="str">
        <f t="shared" si="0"/>
        <v>2021-12-01 17:00</v>
      </c>
      <c r="N44" s="11"/>
      <c r="O44" s="11">
        <v>1</v>
      </c>
      <c r="P44">
        <v>236</v>
      </c>
      <c r="Q44" t="s">
        <v>513</v>
      </c>
      <c r="R44" t="s">
        <v>570</v>
      </c>
      <c r="S44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('180','2021-12-01 17:00','1','1650','','3','4','1','0','1','50','Greg Eoff','gregroff@hotmail.co.uk','07545315240','Unit E, 209 Manor Road, Erith, DA82AD.','2','12','0','0','2021-11-23','0');</v>
      </c>
    </row>
    <row r="45" spans="1:19" x14ac:dyDescent="0.2">
      <c r="A45" s="7" t="s">
        <v>465</v>
      </c>
      <c r="B45" s="11">
        <v>178</v>
      </c>
      <c r="C45" s="13">
        <v>4</v>
      </c>
      <c r="D45" s="11">
        <v>2</v>
      </c>
      <c r="E45" s="3">
        <v>50</v>
      </c>
      <c r="F45" s="34">
        <v>0</v>
      </c>
      <c r="G45" s="11">
        <v>1636</v>
      </c>
      <c r="H45" s="11">
        <v>13</v>
      </c>
      <c r="I45" s="11">
        <v>4</v>
      </c>
      <c r="J45" s="11" t="s">
        <v>337</v>
      </c>
      <c r="K45" s="14" t="s">
        <v>41</v>
      </c>
      <c r="L45" s="6">
        <v>44531.729166666664</v>
      </c>
      <c r="M45" s="6" t="str">
        <f t="shared" si="0"/>
        <v>2021-12-01 17:30</v>
      </c>
      <c r="N45" s="11" t="s">
        <v>89</v>
      </c>
      <c r="O45" s="11">
        <v>1</v>
      </c>
      <c r="P45">
        <v>230</v>
      </c>
      <c r="Q45" t="s">
        <v>505</v>
      </c>
      <c r="R45" t="s">
        <v>562</v>
      </c>
      <c r="S45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('178','2021-12-01 17:30','2','1636','Reposition required.','3','4','1','0','1','50','Simon Harrison','simon.harrison@the4allgroup.com','07506611325','Courier Service, Road B, Hawley Park Road east. Mortley Leeds, LS270BN.','4','13','0','0','2021-11-16','0');</v>
      </c>
    </row>
    <row r="46" spans="1:19" x14ac:dyDescent="0.2">
      <c r="A46" s="7" t="s">
        <v>465</v>
      </c>
      <c r="B46" s="11">
        <v>178</v>
      </c>
      <c r="C46" s="13">
        <v>4</v>
      </c>
      <c r="D46" s="11">
        <v>2</v>
      </c>
      <c r="E46" s="3">
        <v>50</v>
      </c>
      <c r="F46" s="34">
        <v>0</v>
      </c>
      <c r="G46" s="11">
        <v>1632</v>
      </c>
      <c r="H46" s="11">
        <v>13</v>
      </c>
      <c r="I46" s="11">
        <v>4</v>
      </c>
      <c r="J46" s="11" t="s">
        <v>337</v>
      </c>
      <c r="K46" s="14" t="s">
        <v>41</v>
      </c>
      <c r="L46" s="6">
        <v>44531.729166666664</v>
      </c>
      <c r="M46" s="6" t="str">
        <f t="shared" si="0"/>
        <v>2021-12-01 17:30</v>
      </c>
      <c r="N46" s="11" t="s">
        <v>89</v>
      </c>
      <c r="O46" s="11">
        <v>1</v>
      </c>
      <c r="P46">
        <v>230</v>
      </c>
      <c r="Q46" t="s">
        <v>505</v>
      </c>
      <c r="R46" t="s">
        <v>562</v>
      </c>
      <c r="S46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('178','2021-12-01 17:30','2','1632','Reposition required.','3','4','1','0','1','50','Simon Harrison','simon.harrison@the4allgroup.com','07506611325','Courier Service, Road B, Hawley Park Road east. Mortley Leeds, LS270BN.','4','13','0','0','2021-11-16','0');</v>
      </c>
    </row>
    <row r="47" spans="1:19" x14ac:dyDescent="0.2">
      <c r="A47" s="7" t="s">
        <v>465</v>
      </c>
      <c r="B47" s="11">
        <v>178</v>
      </c>
      <c r="C47" s="13">
        <v>4</v>
      </c>
      <c r="D47" s="11">
        <v>2</v>
      </c>
      <c r="E47" s="3">
        <v>50</v>
      </c>
      <c r="F47" s="34">
        <v>0</v>
      </c>
      <c r="G47" s="11">
        <v>1634</v>
      </c>
      <c r="H47" s="11">
        <v>13</v>
      </c>
      <c r="I47" s="11">
        <v>4</v>
      </c>
      <c r="J47" s="11" t="s">
        <v>337</v>
      </c>
      <c r="K47" s="14" t="s">
        <v>41</v>
      </c>
      <c r="L47" s="6">
        <v>44531.729166666664</v>
      </c>
      <c r="M47" s="6" t="str">
        <f t="shared" si="0"/>
        <v>2021-12-01 17:30</v>
      </c>
      <c r="N47" s="11" t="s">
        <v>89</v>
      </c>
      <c r="O47" s="11">
        <v>1</v>
      </c>
      <c r="P47">
        <v>230</v>
      </c>
      <c r="Q47" t="s">
        <v>505</v>
      </c>
      <c r="R47" t="s">
        <v>562</v>
      </c>
      <c r="S47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('178','2021-12-01 17:30','2','1634','Reposition required.','3','4','1','0','1','50','Simon Harrison','simon.harrison@the4allgroup.com','07506611325','Courier Service, Road B, Hawley Park Road east. Mortley Leeds, LS270BN.','4','13','0','0','2021-11-16','0');</v>
      </c>
    </row>
    <row r="48" spans="1:19" x14ac:dyDescent="0.2">
      <c r="A48" s="7" t="s">
        <v>468</v>
      </c>
      <c r="B48" s="11">
        <v>181</v>
      </c>
      <c r="C48" s="13">
        <v>4</v>
      </c>
      <c r="D48" s="11">
        <v>1</v>
      </c>
      <c r="E48" s="3">
        <v>50</v>
      </c>
      <c r="F48" s="34">
        <v>0</v>
      </c>
      <c r="G48" s="11">
        <v>1656</v>
      </c>
      <c r="H48" s="11">
        <v>12</v>
      </c>
      <c r="I48" s="11">
        <v>2</v>
      </c>
      <c r="J48" s="11" t="s">
        <v>349</v>
      </c>
      <c r="K48" s="14" t="s">
        <v>97</v>
      </c>
      <c r="L48" s="6">
        <v>44532.666666666664</v>
      </c>
      <c r="M48" s="6" t="str">
        <f t="shared" si="0"/>
        <v>2021-12-02 16:00</v>
      </c>
      <c r="N48" s="11"/>
      <c r="O48" s="11">
        <v>1</v>
      </c>
      <c r="P48">
        <v>237</v>
      </c>
      <c r="Q48" t="s">
        <v>514</v>
      </c>
      <c r="R48" t="s">
        <v>571</v>
      </c>
      <c r="S48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('181','2021-12-02 16:00','1','1656','','3','4','1','0','1','50','Ezio Menga','ezio@zebrafoodie.com','07748414919','Vauxhall, 73 Bondway. SW81RY.','2','12','0','0','2021-11-23','0');</v>
      </c>
    </row>
    <row r="49" spans="1:19" x14ac:dyDescent="0.2">
      <c r="A49" s="7" t="s">
        <v>468</v>
      </c>
      <c r="B49" s="11">
        <v>181</v>
      </c>
      <c r="C49" s="13">
        <v>4</v>
      </c>
      <c r="D49" s="11">
        <v>1</v>
      </c>
      <c r="E49" s="3">
        <v>50</v>
      </c>
      <c r="F49" s="34">
        <v>0</v>
      </c>
      <c r="G49" s="11">
        <v>1657</v>
      </c>
      <c r="H49" s="11">
        <v>12</v>
      </c>
      <c r="I49" s="11">
        <v>2</v>
      </c>
      <c r="J49" s="11" t="s">
        <v>349</v>
      </c>
      <c r="K49" s="14" t="s">
        <v>97</v>
      </c>
      <c r="L49" s="6">
        <v>44532.666666666664</v>
      </c>
      <c r="M49" s="6" t="str">
        <f t="shared" si="0"/>
        <v>2021-12-02 16:00</v>
      </c>
      <c r="N49" s="11"/>
      <c r="O49" s="11">
        <v>1</v>
      </c>
      <c r="P49">
        <v>237</v>
      </c>
      <c r="Q49" t="s">
        <v>514</v>
      </c>
      <c r="R49" t="s">
        <v>571</v>
      </c>
      <c r="S49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('181','2021-12-02 16:00','1','1657','','3','4','1','0','1','50','Ezio Menga','ezio@zebrafoodie.com','07748414919','Vauxhall, 73 Bondway. SW81RY.','2','12','0','0','2021-11-23','0');</v>
      </c>
    </row>
    <row r="50" spans="1:19" x14ac:dyDescent="0.2">
      <c r="A50" s="7" t="s">
        <v>468</v>
      </c>
      <c r="B50" s="11">
        <v>140</v>
      </c>
      <c r="C50" s="31">
        <v>4</v>
      </c>
      <c r="D50" s="11">
        <v>1</v>
      </c>
      <c r="E50" s="3">
        <v>50</v>
      </c>
      <c r="F50" s="34">
        <v>0</v>
      </c>
      <c r="G50" s="11">
        <v>1658</v>
      </c>
      <c r="H50" s="11">
        <v>13</v>
      </c>
      <c r="I50" s="11">
        <v>2</v>
      </c>
      <c r="J50" s="11" t="s">
        <v>351</v>
      </c>
      <c r="K50" s="14" t="s">
        <v>105</v>
      </c>
      <c r="L50" s="6">
        <v>44532.75</v>
      </c>
      <c r="M50" s="6" t="str">
        <f t="shared" si="0"/>
        <v>2021-12-02 18:00</v>
      </c>
      <c r="N50" s="11" t="s">
        <v>106</v>
      </c>
      <c r="O50" s="11">
        <v>1</v>
      </c>
      <c r="P50">
        <v>31</v>
      </c>
      <c r="Q50" t="s">
        <v>515</v>
      </c>
      <c r="R50" t="s">
        <v>572</v>
      </c>
      <c r="S50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('140','2021-12-02 18:00','1','1658','Cancelled - 26/11/21.','3','4','1','0','1','50','Ryan Whitcut','ryan@whitcut.co.uk','07802808350','Hellaby Indust, Rotherham, S668HN.','2','13','0','0','2021-11-23','0');</v>
      </c>
    </row>
    <row r="51" spans="1:19" x14ac:dyDescent="0.2">
      <c r="A51" s="7" t="s">
        <v>469</v>
      </c>
      <c r="B51" s="11">
        <v>140</v>
      </c>
      <c r="C51" s="31">
        <v>4</v>
      </c>
      <c r="D51" s="11">
        <v>1</v>
      </c>
      <c r="E51" s="3">
        <v>50</v>
      </c>
      <c r="F51" s="34">
        <v>0</v>
      </c>
      <c r="G51" s="11">
        <v>1659</v>
      </c>
      <c r="H51" s="11">
        <v>13</v>
      </c>
      <c r="I51" s="11">
        <v>2</v>
      </c>
      <c r="J51" s="11" t="s">
        <v>351</v>
      </c>
      <c r="K51" s="14" t="s">
        <v>105</v>
      </c>
      <c r="L51" s="6">
        <v>44532.75</v>
      </c>
      <c r="M51" s="6" t="str">
        <f t="shared" si="0"/>
        <v>2021-12-02 18:00</v>
      </c>
      <c r="N51" s="11"/>
      <c r="O51" s="11">
        <v>1</v>
      </c>
      <c r="P51">
        <v>31</v>
      </c>
      <c r="Q51" t="s">
        <v>515</v>
      </c>
      <c r="R51" t="s">
        <v>572</v>
      </c>
      <c r="S51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('140','2021-12-02 18:00','1','1659','','3','4','1','0','1','50','Ryan Whitcut','ryan@whitcut.co.uk','07802808350','Hellaby Indust, Rotherham, S668HN.','2','13','0','0','2021-11-29','0');</v>
      </c>
    </row>
    <row r="52" spans="1:19" x14ac:dyDescent="0.2">
      <c r="A52" s="7" t="s">
        <v>470</v>
      </c>
      <c r="B52" s="11">
        <v>62</v>
      </c>
      <c r="C52" s="13">
        <v>30</v>
      </c>
      <c r="D52" s="11">
        <v>2</v>
      </c>
      <c r="E52" s="3">
        <v>50</v>
      </c>
      <c r="F52" s="34">
        <v>0</v>
      </c>
      <c r="G52" s="11">
        <v>551</v>
      </c>
      <c r="H52" s="11">
        <v>13</v>
      </c>
      <c r="I52" s="11">
        <v>2</v>
      </c>
      <c r="J52" s="11" t="s">
        <v>350</v>
      </c>
      <c r="K52" s="14" t="s">
        <v>101</v>
      </c>
      <c r="L52" s="6">
        <v>44533.333333333336</v>
      </c>
      <c r="M52" s="6" t="str">
        <f t="shared" si="0"/>
        <v>2021-12-03 08:00</v>
      </c>
      <c r="N52" s="11" t="s">
        <v>440</v>
      </c>
      <c r="O52" s="11">
        <v>1</v>
      </c>
      <c r="P52">
        <v>95</v>
      </c>
      <c r="Q52" t="s">
        <v>516</v>
      </c>
      <c r="R52" t="s">
        <v>573</v>
      </c>
      <c r="S52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('62','2021-12-03 08:00','2','551','Faulty left turn audible alarm. Charlie attended - 03/12/21. Revisit may be required with replacement kit.','3','30','1','0','1','50','Syed ','syedh57@yahoo.com','07459931011','Riverpark Trading Est, Riverpark Rd, M402XP.','2','13','0','0','2021-11-30','0');</v>
      </c>
    </row>
    <row r="53" spans="1:19" x14ac:dyDescent="0.2">
      <c r="A53" s="7" t="s">
        <v>470</v>
      </c>
      <c r="B53" s="11">
        <v>62</v>
      </c>
      <c r="C53" s="13">
        <v>13</v>
      </c>
      <c r="D53" s="11">
        <v>2</v>
      </c>
      <c r="E53" s="3">
        <v>50</v>
      </c>
      <c r="F53" s="34">
        <v>0</v>
      </c>
      <c r="G53" s="11">
        <v>550</v>
      </c>
      <c r="H53" s="11">
        <v>13</v>
      </c>
      <c r="I53" s="11">
        <v>2</v>
      </c>
      <c r="J53" s="11" t="s">
        <v>350</v>
      </c>
      <c r="K53" s="14" t="s">
        <v>101</v>
      </c>
      <c r="L53" s="6">
        <v>44533.333333333336</v>
      </c>
      <c r="M53" s="6" t="str">
        <f t="shared" si="0"/>
        <v>2021-12-03 08:00</v>
      </c>
      <c r="N53" s="11"/>
      <c r="O53" s="11">
        <v>1</v>
      </c>
      <c r="P53">
        <v>95</v>
      </c>
      <c r="Q53" t="s">
        <v>516</v>
      </c>
      <c r="R53" t="s">
        <v>573</v>
      </c>
      <c r="S53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('62','2021-12-03 08:00','2','550','','3','13','1','0','1','50','Syed ','syedh57@yahoo.com','07459931011','Riverpark Trading Est, Riverpark Rd, M402XP.','2','13','0','0','2021-11-30','0');</v>
      </c>
    </row>
    <row r="54" spans="1:19" x14ac:dyDescent="0.2">
      <c r="A54" s="7" t="s">
        <v>471</v>
      </c>
      <c r="B54" s="11">
        <v>111</v>
      </c>
      <c r="C54" s="13">
        <v>4</v>
      </c>
      <c r="D54" s="11">
        <v>2</v>
      </c>
      <c r="E54" s="3">
        <v>50</v>
      </c>
      <c r="F54" s="34">
        <v>0</v>
      </c>
      <c r="G54" s="11">
        <v>891</v>
      </c>
      <c r="H54" s="11">
        <v>13</v>
      </c>
      <c r="I54" s="11">
        <v>4</v>
      </c>
      <c r="J54" s="11" t="s">
        <v>352</v>
      </c>
      <c r="K54" s="14" t="s">
        <v>110</v>
      </c>
      <c r="L54" s="6">
        <v>44534.375</v>
      </c>
      <c r="M54" s="6" t="str">
        <f t="shared" si="0"/>
        <v>2021-12-04 09:00</v>
      </c>
      <c r="N54" s="11" t="s">
        <v>434</v>
      </c>
      <c r="O54" s="11">
        <v>1</v>
      </c>
      <c r="P54">
        <v>147</v>
      </c>
      <c r="Q54" t="s">
        <v>517</v>
      </c>
      <c r="R54" t="s">
        <v>574</v>
      </c>
      <c r="S54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('111','2021-12-04 09:00','2','891','Reposition.','3','4','1','0','1','50','Tom Darlington','tpddemolition@hotmail.com','07930163999','Unit 72 Bradleyhall indust, Standish Wigan, WN60YS.','4','13','0','0','2021-12-01','0');</v>
      </c>
    </row>
    <row r="55" spans="1:19" x14ac:dyDescent="0.2">
      <c r="A55" s="7" t="s">
        <v>471</v>
      </c>
      <c r="B55" s="11">
        <v>111</v>
      </c>
      <c r="C55" s="13">
        <v>4</v>
      </c>
      <c r="D55" s="11">
        <v>2</v>
      </c>
      <c r="E55" s="3">
        <v>50</v>
      </c>
      <c r="F55" s="34">
        <v>0</v>
      </c>
      <c r="G55" s="11">
        <v>0</v>
      </c>
      <c r="H55" s="11">
        <v>13</v>
      </c>
      <c r="I55" s="11">
        <v>4</v>
      </c>
      <c r="J55" s="11" t="s">
        <v>352</v>
      </c>
      <c r="K55" s="14" t="s">
        <v>110</v>
      </c>
      <c r="L55" s="6">
        <v>44534.375</v>
      </c>
      <c r="M55" s="6" t="str">
        <f t="shared" si="0"/>
        <v>2021-12-04 09:00</v>
      </c>
      <c r="N55" s="11" t="s">
        <v>434</v>
      </c>
      <c r="O55" s="11">
        <v>1</v>
      </c>
      <c r="P55">
        <v>147</v>
      </c>
      <c r="Q55" t="s">
        <v>517</v>
      </c>
      <c r="R55" t="s">
        <v>574</v>
      </c>
      <c r="S55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('111','2021-12-04 09:00','2','0','Reposition.','3','4','1','0','1','50','Tom Darlington','tpddemolition@hotmail.com','07930163999','Unit 72 Bradleyhall indust, Standish Wigan, WN60YS.','4','13','0','0','2021-12-01','0');</v>
      </c>
    </row>
    <row r="56" spans="1:19" x14ac:dyDescent="0.2">
      <c r="A56" s="7" t="s">
        <v>471</v>
      </c>
      <c r="B56" s="11">
        <v>111</v>
      </c>
      <c r="C56" s="13">
        <v>4</v>
      </c>
      <c r="D56" s="11">
        <v>2</v>
      </c>
      <c r="E56" s="3">
        <v>50</v>
      </c>
      <c r="F56" s="34">
        <v>0</v>
      </c>
      <c r="G56" s="11">
        <v>1563</v>
      </c>
      <c r="H56" s="11">
        <v>13</v>
      </c>
      <c r="I56" s="11">
        <v>4</v>
      </c>
      <c r="J56" s="11" t="s">
        <v>352</v>
      </c>
      <c r="K56" s="14" t="s">
        <v>110</v>
      </c>
      <c r="L56" s="6">
        <v>44534.375</v>
      </c>
      <c r="M56" s="6" t="str">
        <f t="shared" si="0"/>
        <v>2021-12-04 09:00</v>
      </c>
      <c r="N56" s="11" t="s">
        <v>433</v>
      </c>
      <c r="O56" s="11">
        <v>1</v>
      </c>
      <c r="P56">
        <v>147</v>
      </c>
      <c r="Q56" t="s">
        <v>517</v>
      </c>
      <c r="R56" t="s">
        <v>574</v>
      </c>
      <c r="S56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('111','2021-12-04 09:00','2','1563','Reposition/Wiring Check.','3','4','1','0','1','50','Tom Darlington','tpddemolition@hotmail.com','07930163999','Unit 72 Bradleyhall indust, Standish Wigan, WN60YS.','4','13','0','0','2021-12-01','0');</v>
      </c>
    </row>
    <row r="57" spans="1:19" x14ac:dyDescent="0.2">
      <c r="A57" s="7" t="s">
        <v>464</v>
      </c>
      <c r="B57" s="11">
        <v>177</v>
      </c>
      <c r="C57" s="31">
        <v>4</v>
      </c>
      <c r="D57" s="11">
        <v>1</v>
      </c>
      <c r="E57" s="3">
        <v>50</v>
      </c>
      <c r="F57" s="34">
        <v>0</v>
      </c>
      <c r="G57" s="11">
        <v>1660</v>
      </c>
      <c r="H57" s="11">
        <v>12</v>
      </c>
      <c r="I57" s="11">
        <v>2</v>
      </c>
      <c r="J57" s="11" t="s">
        <v>336</v>
      </c>
      <c r="K57" s="14" t="s">
        <v>37</v>
      </c>
      <c r="L57" s="6">
        <v>44534.666666666664</v>
      </c>
      <c r="M57" s="6" t="str">
        <f t="shared" si="0"/>
        <v>2021-12-04 16:00</v>
      </c>
      <c r="N57" s="11"/>
      <c r="O57" s="11">
        <v>1</v>
      </c>
      <c r="P57">
        <v>229</v>
      </c>
      <c r="Q57" t="s">
        <v>504</v>
      </c>
      <c r="R57" t="s">
        <v>561</v>
      </c>
      <c r="S57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('177','2021-12-04 16:00','1','1660','','3','4','1','0','1','50','Marius ','zmarius87@gmail.com','07947368309','62 Wakemans Hill Ave, London, NW90UJ.','2','12','0','0','2021-11-18','0');</v>
      </c>
    </row>
    <row r="58" spans="1:19" x14ac:dyDescent="0.2">
      <c r="A58" s="7" t="s">
        <v>464</v>
      </c>
      <c r="B58" s="11">
        <v>177</v>
      </c>
      <c r="C58" s="31">
        <v>4</v>
      </c>
      <c r="D58" s="11">
        <v>1</v>
      </c>
      <c r="E58" s="3">
        <v>50</v>
      </c>
      <c r="F58" s="34">
        <v>0</v>
      </c>
      <c r="G58" s="11">
        <v>1661</v>
      </c>
      <c r="H58" s="11">
        <v>12</v>
      </c>
      <c r="I58" s="11">
        <v>2</v>
      </c>
      <c r="J58" s="11" t="s">
        <v>336</v>
      </c>
      <c r="K58" s="14" t="s">
        <v>37</v>
      </c>
      <c r="L58" s="6">
        <v>44534.666666666664</v>
      </c>
      <c r="M58" s="6" t="str">
        <f t="shared" si="0"/>
        <v>2021-12-04 16:00</v>
      </c>
      <c r="N58" s="11"/>
      <c r="O58" s="11">
        <v>1</v>
      </c>
      <c r="P58">
        <v>229</v>
      </c>
      <c r="Q58" t="s">
        <v>504</v>
      </c>
      <c r="R58" t="s">
        <v>561</v>
      </c>
      <c r="S58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('177','2021-12-04 16:00','1','1661','','3','4','1','0','1','50','Marius ','zmarius87@gmail.com','07947368309','62 Wakemans Hill Ave, London, NW90UJ.','2','12','0','0','2021-11-18','0');</v>
      </c>
    </row>
    <row r="59" spans="1:19" x14ac:dyDescent="0.2">
      <c r="A59" s="18" t="s">
        <v>467</v>
      </c>
      <c r="B59" s="11">
        <v>182</v>
      </c>
      <c r="C59" s="13">
        <v>4</v>
      </c>
      <c r="D59" s="11">
        <v>1</v>
      </c>
      <c r="E59" s="3">
        <v>50</v>
      </c>
      <c r="F59" s="34">
        <v>0</v>
      </c>
      <c r="G59" s="11">
        <v>1662</v>
      </c>
      <c r="H59" s="11">
        <v>13</v>
      </c>
      <c r="I59" s="11">
        <v>2</v>
      </c>
      <c r="J59" s="11" t="s">
        <v>353</v>
      </c>
      <c r="K59" s="14" t="s">
        <v>117</v>
      </c>
      <c r="L59" s="6">
        <v>44536.375</v>
      </c>
      <c r="M59" s="6" t="str">
        <f t="shared" si="0"/>
        <v>2021-12-06 09:00</v>
      </c>
      <c r="N59" s="11"/>
      <c r="O59" s="11">
        <v>1</v>
      </c>
      <c r="P59">
        <v>238</v>
      </c>
      <c r="Q59" t="s">
        <v>518</v>
      </c>
      <c r="R59" t="s">
        <v>575</v>
      </c>
      <c r="S59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('182','2021-12-06 09:00','1','1662','','3','4','1','0','1','50','Andrew Muir','andrew.muir@pps-pps.co.uk','07940030869','Yodel Bellshill, 4 Rosehall Road, Bellshill, ML43NR.','2','13','0','0','2021-11-24','0');</v>
      </c>
    </row>
    <row r="60" spans="1:19" x14ac:dyDescent="0.2">
      <c r="A60" s="18" t="s">
        <v>467</v>
      </c>
      <c r="B60" s="11">
        <v>182</v>
      </c>
      <c r="C60" s="13">
        <v>4</v>
      </c>
      <c r="D60" s="11">
        <v>1</v>
      </c>
      <c r="E60" s="3">
        <v>50</v>
      </c>
      <c r="F60" s="34">
        <v>0</v>
      </c>
      <c r="G60" s="11">
        <v>1664</v>
      </c>
      <c r="H60" s="11">
        <v>13</v>
      </c>
      <c r="I60" s="11">
        <v>2</v>
      </c>
      <c r="J60" s="11" t="s">
        <v>353</v>
      </c>
      <c r="K60" s="14" t="s">
        <v>117</v>
      </c>
      <c r="L60" s="6">
        <v>44536.375</v>
      </c>
      <c r="M60" s="6" t="str">
        <f t="shared" si="0"/>
        <v>2021-12-06 09:00</v>
      </c>
      <c r="N60" s="11"/>
      <c r="O60" s="11">
        <v>1</v>
      </c>
      <c r="P60">
        <v>238</v>
      </c>
      <c r="Q60" t="s">
        <v>518</v>
      </c>
      <c r="R60" t="s">
        <v>575</v>
      </c>
      <c r="S60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('182','2021-12-06 09:00','1','1664','','3','4','1','0','1','50','Andrew Muir','andrew.muir@pps-pps.co.uk','07940030869','Yodel Bellshill, 4 Rosehall Road, Bellshill, ML43NR.','2','13','0','0','2021-11-24','0');</v>
      </c>
    </row>
    <row r="61" spans="1:19" x14ac:dyDescent="0.2">
      <c r="A61" s="18" t="s">
        <v>467</v>
      </c>
      <c r="B61" s="11">
        <v>182</v>
      </c>
      <c r="C61" s="13">
        <v>4</v>
      </c>
      <c r="D61" s="11">
        <v>1</v>
      </c>
      <c r="E61" s="3">
        <v>50</v>
      </c>
      <c r="F61" s="34">
        <v>0</v>
      </c>
      <c r="G61" s="11">
        <v>1665</v>
      </c>
      <c r="H61" s="11">
        <v>13</v>
      </c>
      <c r="I61" s="11">
        <v>2</v>
      </c>
      <c r="J61" s="11" t="s">
        <v>353</v>
      </c>
      <c r="K61" s="14" t="s">
        <v>117</v>
      </c>
      <c r="L61" s="6">
        <v>44536.375</v>
      </c>
      <c r="M61" s="6" t="str">
        <f t="shared" si="0"/>
        <v>2021-12-06 09:00</v>
      </c>
      <c r="N61" s="11"/>
      <c r="O61" s="11">
        <v>1</v>
      </c>
      <c r="P61">
        <v>238</v>
      </c>
      <c r="Q61" t="s">
        <v>518</v>
      </c>
      <c r="R61" t="s">
        <v>575</v>
      </c>
      <c r="S61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('182','2021-12-06 09:00','1','1665','','3','4','1','0','1','50','Andrew Muir','andrew.muir@pps-pps.co.uk','07940030869','Yodel Bellshill, 4 Rosehall Road, Bellshill, ML43NR.','2','13','0','0','2021-11-24','0');</v>
      </c>
    </row>
    <row r="62" spans="1:19" x14ac:dyDescent="0.2">
      <c r="A62" s="18" t="s">
        <v>467</v>
      </c>
      <c r="B62" s="11">
        <v>182</v>
      </c>
      <c r="C62" s="13">
        <v>4</v>
      </c>
      <c r="D62" s="11">
        <v>1</v>
      </c>
      <c r="E62" s="3">
        <v>50</v>
      </c>
      <c r="F62" s="34">
        <v>0</v>
      </c>
      <c r="G62" s="11">
        <v>1666</v>
      </c>
      <c r="H62" s="11">
        <v>13</v>
      </c>
      <c r="I62" s="11">
        <v>2</v>
      </c>
      <c r="J62" s="11" t="s">
        <v>353</v>
      </c>
      <c r="K62" s="14" t="s">
        <v>117</v>
      </c>
      <c r="L62" s="6">
        <v>44536.375</v>
      </c>
      <c r="M62" s="6" t="str">
        <f t="shared" si="0"/>
        <v>2021-12-06 09:00</v>
      </c>
      <c r="N62" s="11"/>
      <c r="O62" s="11">
        <v>1</v>
      </c>
      <c r="P62">
        <v>238</v>
      </c>
      <c r="Q62" t="s">
        <v>518</v>
      </c>
      <c r="R62" t="s">
        <v>575</v>
      </c>
      <c r="S62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('182','2021-12-06 09:00','1','1666','','3','4','1','0','1','50','Andrew Muir','andrew.muir@pps-pps.co.uk','07940030869','Yodel Bellshill, 4 Rosehall Road, Bellshill, ML43NR.','2','13','0','0','2021-11-24','0');</v>
      </c>
    </row>
    <row r="63" spans="1:19" x14ac:dyDescent="0.2">
      <c r="A63" s="18" t="s">
        <v>467</v>
      </c>
      <c r="B63" s="11">
        <v>182</v>
      </c>
      <c r="C63" s="13">
        <v>4</v>
      </c>
      <c r="D63" s="11">
        <v>1</v>
      </c>
      <c r="E63" s="3">
        <v>50</v>
      </c>
      <c r="F63" s="34">
        <v>0</v>
      </c>
      <c r="G63" s="11">
        <v>1663</v>
      </c>
      <c r="H63" s="11">
        <v>13</v>
      </c>
      <c r="I63" s="11">
        <v>2</v>
      </c>
      <c r="J63" s="11" t="s">
        <v>353</v>
      </c>
      <c r="K63" s="14" t="s">
        <v>117</v>
      </c>
      <c r="L63" s="6">
        <v>44536.375</v>
      </c>
      <c r="M63" s="6" t="str">
        <f t="shared" si="0"/>
        <v>2021-12-06 09:00</v>
      </c>
      <c r="N63" s="11" t="s">
        <v>122</v>
      </c>
      <c r="O63" s="11">
        <v>1</v>
      </c>
      <c r="P63">
        <v>238</v>
      </c>
      <c r="Q63" t="s">
        <v>518</v>
      </c>
      <c r="R63" t="s">
        <v>575</v>
      </c>
      <c r="S63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('182','2021-12-06 09:00','1','1663','Registration previously given DP70FJZ.','3','4','1','0','1','50','Andrew Muir','andrew.muir@pps-pps.co.uk','07940030869','Yodel Bellshill, 4 Rosehall Road, Bellshill, ML43NR.','2','13','0','0','2021-11-24','0');</v>
      </c>
    </row>
    <row r="64" spans="1:19" x14ac:dyDescent="0.2">
      <c r="A64" s="7" t="s">
        <v>468</v>
      </c>
      <c r="B64" s="11">
        <v>133</v>
      </c>
      <c r="C64" s="13">
        <v>14</v>
      </c>
      <c r="D64" s="11">
        <v>1</v>
      </c>
      <c r="E64" s="3">
        <v>230</v>
      </c>
      <c r="F64" s="34">
        <v>0</v>
      </c>
      <c r="G64" s="11">
        <v>899</v>
      </c>
      <c r="H64" s="11">
        <v>12</v>
      </c>
      <c r="I64" s="11">
        <v>2</v>
      </c>
      <c r="J64" s="11" t="s">
        <v>354</v>
      </c>
      <c r="K64" s="14" t="s">
        <v>11</v>
      </c>
      <c r="L64" s="6">
        <v>44536.541666666664</v>
      </c>
      <c r="M64" s="6" t="str">
        <f t="shared" si="0"/>
        <v>2021-12-06 13:00</v>
      </c>
      <c r="N64" s="11" t="s">
        <v>124</v>
      </c>
      <c r="O64" s="11">
        <v>1</v>
      </c>
      <c r="P64">
        <v>92</v>
      </c>
      <c r="Q64" t="s">
        <v>519</v>
      </c>
      <c r="R64" t="s">
        <v>576</v>
      </c>
      <c r="S64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('133','2021-12-06 13:00','1','899','Re-install of old cameras (with fleet) with new DVR install.','3','14','1','0','1','230','Mike Lunn','mike@paper-mountain.net','01329281182','108 FARHAM ROAD¸ GOSPORT, PO130BB.','2','12','0','0','2021-11-23','0');</v>
      </c>
    </row>
    <row r="65" spans="1:19" ht="32" x14ac:dyDescent="0.2">
      <c r="A65" s="7" t="s">
        <v>461</v>
      </c>
      <c r="B65" s="11">
        <v>167</v>
      </c>
      <c r="C65" s="31">
        <v>4</v>
      </c>
      <c r="D65" s="11">
        <v>1</v>
      </c>
      <c r="E65" s="3">
        <v>50</v>
      </c>
      <c r="F65" s="34">
        <v>0</v>
      </c>
      <c r="G65" s="11">
        <v>1667</v>
      </c>
      <c r="H65" s="11">
        <v>13</v>
      </c>
      <c r="I65" s="11">
        <v>2</v>
      </c>
      <c r="J65" s="19" t="s">
        <v>355</v>
      </c>
      <c r="K65" s="14" t="s">
        <v>127</v>
      </c>
      <c r="L65" s="6">
        <v>44536.75</v>
      </c>
      <c r="M65" s="6" t="str">
        <f t="shared" si="0"/>
        <v>2021-12-06 18:00</v>
      </c>
      <c r="N65" s="11"/>
      <c r="O65" s="11">
        <v>1</v>
      </c>
      <c r="P65">
        <v>207</v>
      </c>
      <c r="Q65" t="s">
        <v>520</v>
      </c>
      <c r="R65" t="s">
        <v>577</v>
      </c>
      <c r="S65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('167','2021-12-06 18:00','1','1667','','3','4','1','0','1','50','Ian Graham','g726631@aol.com','07583386891','DHL Site, Cambuslang Rd, G328NB.','2','13','0','0','2021-11-17','0');</v>
      </c>
    </row>
    <row r="66" spans="1:19" ht="32" x14ac:dyDescent="0.2">
      <c r="A66" s="7" t="s">
        <v>461</v>
      </c>
      <c r="B66" s="11">
        <v>167</v>
      </c>
      <c r="C66" s="31">
        <v>4</v>
      </c>
      <c r="D66" s="11">
        <v>1</v>
      </c>
      <c r="E66" s="3">
        <v>50</v>
      </c>
      <c r="F66" s="34">
        <v>0</v>
      </c>
      <c r="G66" s="11">
        <v>1668</v>
      </c>
      <c r="H66" s="11">
        <v>13</v>
      </c>
      <c r="I66" s="11">
        <v>2</v>
      </c>
      <c r="J66" s="19" t="s">
        <v>355</v>
      </c>
      <c r="K66" s="14" t="s">
        <v>127</v>
      </c>
      <c r="L66" s="6">
        <v>44536.75</v>
      </c>
      <c r="M66" s="6" t="str">
        <f t="shared" si="0"/>
        <v>2021-12-06 18:00</v>
      </c>
      <c r="N66" s="11"/>
      <c r="O66" s="11">
        <v>1</v>
      </c>
      <c r="P66">
        <v>207</v>
      </c>
      <c r="Q66" t="s">
        <v>520</v>
      </c>
      <c r="R66" t="s">
        <v>577</v>
      </c>
      <c r="S66" t="str">
        <f t="shared" si="1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('167','2021-12-06 18:00','1','1668','','3','4','1','0','1','50','Ian Graham','g726631@aol.com','07583386891','DHL Site, Cambuslang Rd, G328NB.','2','13','0','0','2021-11-17','0');</v>
      </c>
    </row>
    <row r="67" spans="1:19" x14ac:dyDescent="0.2">
      <c r="A67" s="7" t="s">
        <v>464</v>
      </c>
      <c r="B67" s="11">
        <v>183</v>
      </c>
      <c r="C67" s="31">
        <v>4</v>
      </c>
      <c r="D67" s="11">
        <v>1</v>
      </c>
      <c r="E67" s="3">
        <v>50</v>
      </c>
      <c r="F67" s="34">
        <v>0</v>
      </c>
      <c r="G67" s="11">
        <v>1677</v>
      </c>
      <c r="H67" s="11">
        <v>13</v>
      </c>
      <c r="I67" s="11">
        <v>2</v>
      </c>
      <c r="J67" s="11" t="s">
        <v>356</v>
      </c>
      <c r="K67" s="14" t="s">
        <v>131</v>
      </c>
      <c r="L67" s="6">
        <v>44536.8125</v>
      </c>
      <c r="M67" s="6" t="str">
        <f t="shared" ref="M67:M130" si="2">TEXT(YEAR(L67) &amp;"-" &amp; MONTH(L67) &amp;"-" &amp; DAY(L67) &amp; " " &amp; HOUR(L67) &amp;":" &amp; MINUTE(L67),"YYYY-MM-DD HH:mm")</f>
        <v>2021-12-06 19:30</v>
      </c>
      <c r="N67" s="11"/>
      <c r="O67" s="11">
        <v>1</v>
      </c>
      <c r="P67">
        <v>240</v>
      </c>
      <c r="Q67" t="s">
        <v>521</v>
      </c>
      <c r="R67" t="s">
        <v>578</v>
      </c>
      <c r="S67" t="str">
        <f t="shared" ref="S67:S130" si="3">CONCATENATE($S$1, "VALUES ('",B67, "','",M67,"','",D67,"','", G67, "','",N67, "','", "3','",C67, "','","1','0','",O67,"','",E67,"','", Q67,"','", R67, "','", K67, "','", J67, "','",I67, "','",H67, "','0','0','",A67, "','" &amp;F67 &amp;"');")</f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('183','2021-12-06 19:30','1','1677','','3','4','1','0','1','50','Stephen Robertson','robertsonslogisticservices@outlook.com','07383840013','DX Freight, Unit 6, OakBank Industrial Estate, Oakbank Park Pl, Livingston, EH53OTN.','2','13','0','0','2021-11-18','0');</v>
      </c>
    </row>
    <row r="68" spans="1:19" x14ac:dyDescent="0.2">
      <c r="A68" s="7" t="s">
        <v>464</v>
      </c>
      <c r="B68" s="11">
        <v>183</v>
      </c>
      <c r="C68" s="31">
        <v>4</v>
      </c>
      <c r="D68" s="11">
        <v>1</v>
      </c>
      <c r="E68" s="3">
        <v>50</v>
      </c>
      <c r="F68" s="34">
        <v>0</v>
      </c>
      <c r="G68" s="11">
        <v>1671</v>
      </c>
      <c r="H68" s="11">
        <v>13</v>
      </c>
      <c r="I68" s="11">
        <v>2</v>
      </c>
      <c r="J68" s="11" t="s">
        <v>356</v>
      </c>
      <c r="K68" s="14" t="s">
        <v>131</v>
      </c>
      <c r="L68" s="6">
        <v>44536.8125</v>
      </c>
      <c r="M68" s="6" t="str">
        <f t="shared" si="2"/>
        <v>2021-12-06 19:30</v>
      </c>
      <c r="N68" s="11"/>
      <c r="O68" s="11">
        <v>1</v>
      </c>
      <c r="P68">
        <v>240</v>
      </c>
      <c r="Q68" t="s">
        <v>521</v>
      </c>
      <c r="R68" t="s">
        <v>578</v>
      </c>
      <c r="S68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('183','2021-12-06 19:30','1','1671','','3','4','1','0','1','50','Stephen Robertson','robertsonslogisticservices@outlook.com','07383840013','DX Freight, Unit 6, OakBank Industrial Estate, Oakbank Park Pl, Livingston, EH53OTN.','2','13','0','0','2021-11-18','0');</v>
      </c>
    </row>
    <row r="69" spans="1:19" x14ac:dyDescent="0.2">
      <c r="A69" s="7" t="s">
        <v>464</v>
      </c>
      <c r="B69" s="11">
        <v>183</v>
      </c>
      <c r="C69" s="31">
        <v>4</v>
      </c>
      <c r="D69" s="11">
        <v>1</v>
      </c>
      <c r="E69" s="3">
        <v>50</v>
      </c>
      <c r="F69" s="34">
        <v>0</v>
      </c>
      <c r="G69" s="11">
        <v>1674</v>
      </c>
      <c r="H69" s="11">
        <v>13</v>
      </c>
      <c r="I69" s="11">
        <v>2</v>
      </c>
      <c r="J69" s="11" t="s">
        <v>356</v>
      </c>
      <c r="K69" s="14" t="s">
        <v>131</v>
      </c>
      <c r="L69" s="6">
        <v>44536.8125</v>
      </c>
      <c r="M69" s="6" t="str">
        <f t="shared" si="2"/>
        <v>2021-12-06 19:30</v>
      </c>
      <c r="N69" s="11" t="s">
        <v>134</v>
      </c>
      <c r="O69" s="11">
        <v>1</v>
      </c>
      <c r="P69">
        <v>240</v>
      </c>
      <c r="Q69" t="s">
        <v>521</v>
      </c>
      <c r="R69" t="s">
        <v>578</v>
      </c>
      <c r="S69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('183','2021-12-06 19:30','1','1674','Registration previously given GX69ZYN.','3','4','1','0','1','50','Stephen Robertson','robertsonslogisticservices@outlook.com','07383840013','DX Freight, Unit 6, OakBank Industrial Estate, Oakbank Park Pl, Livingston, EH53OTN.','2','13','0','0','2021-11-18','0');</v>
      </c>
    </row>
    <row r="70" spans="1:19" x14ac:dyDescent="0.2">
      <c r="A70" s="7" t="s">
        <v>464</v>
      </c>
      <c r="B70" s="11">
        <v>183</v>
      </c>
      <c r="C70" s="31">
        <v>4</v>
      </c>
      <c r="D70" s="11">
        <v>1</v>
      </c>
      <c r="E70" s="3">
        <v>50</v>
      </c>
      <c r="F70" s="34">
        <v>0</v>
      </c>
      <c r="G70" s="11">
        <v>1672</v>
      </c>
      <c r="H70" s="11">
        <v>13</v>
      </c>
      <c r="I70" s="11">
        <v>2</v>
      </c>
      <c r="J70" s="11" t="s">
        <v>356</v>
      </c>
      <c r="K70" s="14" t="s">
        <v>131</v>
      </c>
      <c r="L70" s="6">
        <v>44536.8125</v>
      </c>
      <c r="M70" s="6" t="str">
        <f t="shared" si="2"/>
        <v>2021-12-06 19:30</v>
      </c>
      <c r="N70" s="11"/>
      <c r="O70" s="11">
        <v>1</v>
      </c>
      <c r="P70">
        <v>240</v>
      </c>
      <c r="Q70" t="s">
        <v>521</v>
      </c>
      <c r="R70" t="s">
        <v>578</v>
      </c>
      <c r="S70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('183','2021-12-06 19:30','1','1672','','3','4','1','0','1','50','Stephen Robertson','robertsonslogisticservices@outlook.com','07383840013','DX Freight, Unit 6, OakBank Industrial Estate, Oakbank Park Pl, Livingston, EH53OTN.','2','13','0','0','2021-11-18','0');</v>
      </c>
    </row>
    <row r="71" spans="1:19" x14ac:dyDescent="0.2">
      <c r="A71" s="7" t="s">
        <v>464</v>
      </c>
      <c r="B71" s="11">
        <v>183</v>
      </c>
      <c r="C71" s="31">
        <v>4</v>
      </c>
      <c r="D71" s="11">
        <v>1</v>
      </c>
      <c r="E71" s="3">
        <v>50</v>
      </c>
      <c r="F71" s="34">
        <v>0</v>
      </c>
      <c r="G71" s="11">
        <v>1670</v>
      </c>
      <c r="H71" s="11">
        <v>13</v>
      </c>
      <c r="I71" s="11">
        <v>2</v>
      </c>
      <c r="J71" s="11" t="s">
        <v>356</v>
      </c>
      <c r="K71" s="14" t="s">
        <v>131</v>
      </c>
      <c r="L71" s="6">
        <v>44536.8125</v>
      </c>
      <c r="M71" s="6" t="str">
        <f t="shared" si="2"/>
        <v>2021-12-06 19:30</v>
      </c>
      <c r="N71" s="11"/>
      <c r="O71" s="11">
        <v>1</v>
      </c>
      <c r="P71">
        <v>240</v>
      </c>
      <c r="Q71" t="s">
        <v>521</v>
      </c>
      <c r="R71" t="s">
        <v>578</v>
      </c>
      <c r="S71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('183','2021-12-06 19:30','1','1670','','3','4','1','0','1','50','Stephen Robertson','robertsonslogisticservices@outlook.com','07383840013','DX Freight, Unit 6, OakBank Industrial Estate, Oakbank Park Pl, Livingston, EH53OTN.','2','13','0','0','2021-11-18','0');</v>
      </c>
    </row>
    <row r="72" spans="1:19" x14ac:dyDescent="0.2">
      <c r="A72" s="7" t="s">
        <v>464</v>
      </c>
      <c r="B72" s="11">
        <v>183</v>
      </c>
      <c r="C72" s="31">
        <v>4</v>
      </c>
      <c r="D72" s="11">
        <v>1</v>
      </c>
      <c r="E72" s="3">
        <v>50</v>
      </c>
      <c r="F72" s="34">
        <v>0</v>
      </c>
      <c r="G72" s="11">
        <v>1676</v>
      </c>
      <c r="H72" s="11">
        <v>13</v>
      </c>
      <c r="I72" s="11">
        <v>2</v>
      </c>
      <c r="J72" s="11" t="s">
        <v>356</v>
      </c>
      <c r="K72" s="14" t="s">
        <v>131</v>
      </c>
      <c r="L72" s="6">
        <v>44536.8125</v>
      </c>
      <c r="M72" s="6" t="str">
        <f t="shared" si="2"/>
        <v>2021-12-06 19:30</v>
      </c>
      <c r="N72" s="11"/>
      <c r="O72" s="11">
        <v>1</v>
      </c>
      <c r="P72">
        <v>240</v>
      </c>
      <c r="Q72" t="s">
        <v>521</v>
      </c>
      <c r="R72" t="s">
        <v>578</v>
      </c>
      <c r="S72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('183','2021-12-06 19:30','1','1676','','3','4','1','0','1','50','Stephen Robertson','robertsonslogisticservices@outlook.com','07383840013','DX Freight, Unit 6, OakBank Industrial Estate, Oakbank Park Pl, Livingston, EH53OTN.','2','13','0','0','2021-11-18','0');</v>
      </c>
    </row>
    <row r="73" spans="1:19" x14ac:dyDescent="0.2">
      <c r="A73" s="7" t="s">
        <v>464</v>
      </c>
      <c r="B73" s="11">
        <v>183</v>
      </c>
      <c r="C73" s="31">
        <v>4</v>
      </c>
      <c r="D73" s="11">
        <v>1</v>
      </c>
      <c r="E73" s="3">
        <v>50</v>
      </c>
      <c r="F73" s="34">
        <v>0</v>
      </c>
      <c r="G73" s="11">
        <v>1673</v>
      </c>
      <c r="H73" s="11">
        <v>13</v>
      </c>
      <c r="I73" s="11">
        <v>2</v>
      </c>
      <c r="J73" s="11" t="s">
        <v>356</v>
      </c>
      <c r="K73" s="14" t="s">
        <v>131</v>
      </c>
      <c r="L73" s="6">
        <v>44536.8125</v>
      </c>
      <c r="M73" s="6" t="str">
        <f t="shared" si="2"/>
        <v>2021-12-06 19:30</v>
      </c>
      <c r="N73" s="11"/>
      <c r="O73" s="11">
        <v>1</v>
      </c>
      <c r="P73">
        <v>240</v>
      </c>
      <c r="Q73" t="s">
        <v>521</v>
      </c>
      <c r="R73" t="s">
        <v>578</v>
      </c>
      <c r="S73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('183','2021-12-06 19:30','1','1673','','3','4','1','0','1','50','Stephen Robertson','robertsonslogisticservices@outlook.com','07383840013','DX Freight, Unit 6, OakBank Industrial Estate, Oakbank Park Pl, Livingston, EH53OTN.','2','13','0','0','2021-11-18','0');</v>
      </c>
    </row>
    <row r="74" spans="1:19" x14ac:dyDescent="0.2">
      <c r="A74" s="7" t="s">
        <v>464</v>
      </c>
      <c r="B74" s="11">
        <v>183</v>
      </c>
      <c r="C74" s="31">
        <v>4</v>
      </c>
      <c r="D74" s="11">
        <v>1</v>
      </c>
      <c r="E74" s="3">
        <v>50</v>
      </c>
      <c r="F74" s="34">
        <v>0</v>
      </c>
      <c r="G74" s="11">
        <v>1675</v>
      </c>
      <c r="H74" s="11">
        <v>13</v>
      </c>
      <c r="I74" s="11">
        <v>2</v>
      </c>
      <c r="J74" s="11" t="s">
        <v>356</v>
      </c>
      <c r="K74" s="14" t="s">
        <v>131</v>
      </c>
      <c r="L74" s="6">
        <v>44536.8125</v>
      </c>
      <c r="M74" s="6" t="str">
        <f t="shared" si="2"/>
        <v>2021-12-06 19:30</v>
      </c>
      <c r="N74" s="11"/>
      <c r="O74" s="11">
        <v>1</v>
      </c>
      <c r="P74">
        <v>240</v>
      </c>
      <c r="Q74" t="s">
        <v>521</v>
      </c>
      <c r="R74" t="s">
        <v>578</v>
      </c>
      <c r="S74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('183','2021-12-06 19:30','1','1675','','3','4','1','0','1','50','Stephen Robertson','robertsonslogisticservices@outlook.com','07383840013','DX Freight, Unit 6, OakBank Industrial Estate, Oakbank Park Pl, Livingston, EH53OTN.','2','13','0','0','2021-11-18','0');</v>
      </c>
    </row>
    <row r="75" spans="1:19" x14ac:dyDescent="0.2">
      <c r="A75" s="7" t="s">
        <v>464</v>
      </c>
      <c r="B75" s="11">
        <v>183</v>
      </c>
      <c r="C75" s="31">
        <v>4</v>
      </c>
      <c r="D75" s="11">
        <v>1</v>
      </c>
      <c r="E75" s="3">
        <v>50</v>
      </c>
      <c r="F75" s="34">
        <v>0</v>
      </c>
      <c r="G75" s="11">
        <v>1669</v>
      </c>
      <c r="H75" s="11">
        <v>13</v>
      </c>
      <c r="I75" s="11">
        <v>2</v>
      </c>
      <c r="J75" s="11" t="s">
        <v>356</v>
      </c>
      <c r="K75" s="14" t="s">
        <v>131</v>
      </c>
      <c r="L75" s="6">
        <v>44536.8125</v>
      </c>
      <c r="M75" s="6" t="str">
        <f t="shared" si="2"/>
        <v>2021-12-06 19:30</v>
      </c>
      <c r="N75" s="11"/>
      <c r="O75" s="11">
        <v>1</v>
      </c>
      <c r="P75">
        <v>240</v>
      </c>
      <c r="Q75" t="s">
        <v>521</v>
      </c>
      <c r="R75" t="s">
        <v>578</v>
      </c>
      <c r="S75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('183','2021-12-06 19:30','1','1669','','3','4','1','0','1','50','Stephen Robertson','robertsonslogisticservices@outlook.com','07383840013','DX Freight, Unit 6, OakBank Industrial Estate, Oakbank Park Pl, Livingston, EH53OTN.','2','13','0','0','2021-11-18','0');</v>
      </c>
    </row>
    <row r="76" spans="1:19" x14ac:dyDescent="0.2">
      <c r="A76" s="7" t="s">
        <v>472</v>
      </c>
      <c r="B76" s="11">
        <v>184</v>
      </c>
      <c r="C76" s="13">
        <v>4</v>
      </c>
      <c r="D76" s="11">
        <v>1</v>
      </c>
      <c r="E76" s="3">
        <v>50</v>
      </c>
      <c r="F76" s="34">
        <v>0</v>
      </c>
      <c r="G76" s="11">
        <v>1682</v>
      </c>
      <c r="H76" s="11">
        <v>12</v>
      </c>
      <c r="I76" s="11">
        <v>2</v>
      </c>
      <c r="J76" s="11" t="s">
        <v>357</v>
      </c>
      <c r="K76" s="14" t="s">
        <v>143</v>
      </c>
      <c r="L76" s="6">
        <v>44538.291666666664</v>
      </c>
      <c r="M76" s="6" t="str">
        <f t="shared" si="2"/>
        <v>2021-12-08 07:00</v>
      </c>
      <c r="N76" s="11"/>
      <c r="O76" s="11">
        <v>1</v>
      </c>
      <c r="P76">
        <v>241</v>
      </c>
      <c r="Q76" t="s">
        <v>522</v>
      </c>
      <c r="R76" t="s">
        <v>579</v>
      </c>
      <c r="S76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('184','2021-12-08 07:00','1','1682','','3','4','1','0','1','50','Alexander Russell','alex@toshi.co','07786085301','Q Park, Oxford St, W1G0PG.','2','12','0','0','2021-11-26','0');</v>
      </c>
    </row>
    <row r="77" spans="1:19" x14ac:dyDescent="0.2">
      <c r="A77" s="7" t="s">
        <v>472</v>
      </c>
      <c r="B77" s="11">
        <v>184</v>
      </c>
      <c r="C77" s="13">
        <v>4</v>
      </c>
      <c r="D77" s="11">
        <v>1</v>
      </c>
      <c r="E77" s="3">
        <v>50</v>
      </c>
      <c r="F77" s="34">
        <v>0</v>
      </c>
      <c r="G77" s="13">
        <v>1681</v>
      </c>
      <c r="H77" s="11">
        <v>12</v>
      </c>
      <c r="I77" s="11">
        <v>2</v>
      </c>
      <c r="J77" s="11" t="s">
        <v>357</v>
      </c>
      <c r="K77" s="14" t="s">
        <v>143</v>
      </c>
      <c r="L77" s="6">
        <v>44538.291666666664</v>
      </c>
      <c r="M77" s="6" t="str">
        <f t="shared" si="2"/>
        <v>2021-12-08 07:00</v>
      </c>
      <c r="N77" s="11"/>
      <c r="O77" s="11">
        <v>1</v>
      </c>
      <c r="P77">
        <v>241</v>
      </c>
      <c r="Q77" t="s">
        <v>522</v>
      </c>
      <c r="R77" t="s">
        <v>579</v>
      </c>
      <c r="S77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('184','2021-12-08 07:00','1','1681','','3','4','1','0','1','50','Alexander Russell','alex@toshi.co','07786085301','Q Park, Oxford St, W1G0PG.','2','12','0','0','2021-11-26','0');</v>
      </c>
    </row>
    <row r="78" spans="1:19" x14ac:dyDescent="0.2">
      <c r="A78" s="7" t="s">
        <v>472</v>
      </c>
      <c r="B78" s="11">
        <v>184</v>
      </c>
      <c r="C78" s="13">
        <v>4</v>
      </c>
      <c r="D78" s="11">
        <v>1</v>
      </c>
      <c r="E78" s="3">
        <v>50</v>
      </c>
      <c r="F78" s="34">
        <v>0</v>
      </c>
      <c r="G78" s="11">
        <v>1680</v>
      </c>
      <c r="H78" s="11">
        <v>12</v>
      </c>
      <c r="I78" s="11">
        <v>2</v>
      </c>
      <c r="J78" s="11" t="s">
        <v>357</v>
      </c>
      <c r="K78" s="14" t="s">
        <v>143</v>
      </c>
      <c r="L78" s="6">
        <v>44538.291666666664</v>
      </c>
      <c r="M78" s="6" t="str">
        <f t="shared" si="2"/>
        <v>2021-12-08 07:00</v>
      </c>
      <c r="N78" s="11"/>
      <c r="O78" s="11">
        <v>1</v>
      </c>
      <c r="P78">
        <v>241</v>
      </c>
      <c r="Q78" t="s">
        <v>522</v>
      </c>
      <c r="R78" t="s">
        <v>579</v>
      </c>
      <c r="S78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('184','2021-12-08 07:00','1','1680','','3','4','1','0','1','50','Alexander Russell','alex@toshi.co','07786085301','Q Park, Oxford St, W1G0PG.','2','12','0','0','2021-11-26','0');</v>
      </c>
    </row>
    <row r="79" spans="1:19" x14ac:dyDescent="0.2">
      <c r="A79" s="7" t="s">
        <v>472</v>
      </c>
      <c r="B79" s="11">
        <v>184</v>
      </c>
      <c r="C79" s="13">
        <v>4</v>
      </c>
      <c r="D79" s="11">
        <v>1</v>
      </c>
      <c r="E79" s="3">
        <v>50</v>
      </c>
      <c r="F79" s="34">
        <v>0</v>
      </c>
      <c r="G79" s="11">
        <v>1678</v>
      </c>
      <c r="H79" s="11">
        <v>12</v>
      </c>
      <c r="I79" s="11">
        <v>2</v>
      </c>
      <c r="J79" s="11" t="s">
        <v>357</v>
      </c>
      <c r="K79" s="14" t="s">
        <v>143</v>
      </c>
      <c r="L79" s="6">
        <v>44538.291666666664</v>
      </c>
      <c r="M79" s="6" t="str">
        <f t="shared" si="2"/>
        <v>2021-12-08 07:00</v>
      </c>
      <c r="N79" s="11"/>
      <c r="O79" s="11">
        <v>1</v>
      </c>
      <c r="P79">
        <v>241</v>
      </c>
      <c r="Q79" t="s">
        <v>522</v>
      </c>
      <c r="R79" t="s">
        <v>579</v>
      </c>
      <c r="S79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('184','2021-12-08 07:00','1','1678','','3','4','1','0','1','50','Alexander Russell','alex@toshi.co','07786085301','Q Park, Oxford St, W1G0PG.','2','12','0','0','2021-11-26','0');</v>
      </c>
    </row>
    <row r="80" spans="1:19" x14ac:dyDescent="0.2">
      <c r="A80" s="7" t="s">
        <v>472</v>
      </c>
      <c r="B80" s="11">
        <v>184</v>
      </c>
      <c r="C80" s="13">
        <v>4</v>
      </c>
      <c r="D80" s="11">
        <v>1</v>
      </c>
      <c r="E80" s="3">
        <v>50</v>
      </c>
      <c r="F80" s="34">
        <v>0</v>
      </c>
      <c r="G80" s="11">
        <v>1679</v>
      </c>
      <c r="H80" s="11">
        <v>12</v>
      </c>
      <c r="I80" s="11">
        <v>2</v>
      </c>
      <c r="J80" s="11" t="s">
        <v>357</v>
      </c>
      <c r="K80" s="14" t="s">
        <v>143</v>
      </c>
      <c r="L80" s="6">
        <v>44538.291666666664</v>
      </c>
      <c r="M80" s="6" t="str">
        <f t="shared" si="2"/>
        <v>2021-12-08 07:00</v>
      </c>
      <c r="N80" s="11"/>
      <c r="O80" s="11">
        <v>1</v>
      </c>
      <c r="P80">
        <v>241</v>
      </c>
      <c r="Q80" t="s">
        <v>522</v>
      </c>
      <c r="R80" t="s">
        <v>579</v>
      </c>
      <c r="S80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('184','2021-12-08 07:00','1','1679','','3','4','1','0','1','50','Alexander Russell','alex@toshi.co','07786085301','Q Park, Oxford St, W1G0PG.','2','12','0','0','2021-11-26','0');</v>
      </c>
    </row>
    <row r="81" spans="1:19" x14ac:dyDescent="0.2">
      <c r="A81" s="7" t="s">
        <v>460</v>
      </c>
      <c r="B81" s="11">
        <v>165</v>
      </c>
      <c r="C81" s="31">
        <v>4</v>
      </c>
      <c r="D81" s="11">
        <v>1</v>
      </c>
      <c r="E81" s="3">
        <v>50</v>
      </c>
      <c r="F81" s="34">
        <v>0</v>
      </c>
      <c r="G81" s="11">
        <v>1684</v>
      </c>
      <c r="H81" s="11">
        <v>12</v>
      </c>
      <c r="I81" s="11">
        <v>2</v>
      </c>
      <c r="J81" s="11" t="s">
        <v>358</v>
      </c>
      <c r="K81" s="14" t="s">
        <v>33</v>
      </c>
      <c r="L81" s="6">
        <v>44539.583333333336</v>
      </c>
      <c r="M81" s="6" t="str">
        <f t="shared" si="2"/>
        <v>2021-12-09 14:00</v>
      </c>
      <c r="N81" s="11" t="s">
        <v>149</v>
      </c>
      <c r="O81" s="11">
        <v>1</v>
      </c>
      <c r="P81">
        <v>205</v>
      </c>
      <c r="Q81" t="s">
        <v>502</v>
      </c>
      <c r="R81" t="s">
        <v>559</v>
      </c>
      <c r="S81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('165','2021-12-09 14:00','1','1684','Cancelled - 24/11/21.','3','4','1','0','1','50','Andrew Toendepi','admin@authentickare.co.uk','07711284904','149 Westmininster Dr, MK36LP.','2','12','0','0','2021-11-15','0');</v>
      </c>
    </row>
    <row r="82" spans="1:19" x14ac:dyDescent="0.2">
      <c r="A82" s="7" t="s">
        <v>460</v>
      </c>
      <c r="B82" s="11">
        <v>165</v>
      </c>
      <c r="C82" s="31">
        <v>4</v>
      </c>
      <c r="D82" s="11">
        <v>1</v>
      </c>
      <c r="E82" s="3">
        <v>50</v>
      </c>
      <c r="F82" s="34">
        <v>0</v>
      </c>
      <c r="G82" s="20">
        <v>1683</v>
      </c>
      <c r="H82" s="11">
        <v>12</v>
      </c>
      <c r="I82" s="11">
        <v>2</v>
      </c>
      <c r="J82" s="21" t="s">
        <v>358</v>
      </c>
      <c r="K82" s="14" t="s">
        <v>33</v>
      </c>
      <c r="L82" s="6">
        <v>44539.583333333336</v>
      </c>
      <c r="M82" s="6" t="str">
        <f t="shared" si="2"/>
        <v>2021-12-09 14:00</v>
      </c>
      <c r="N82" s="11" t="s">
        <v>149</v>
      </c>
      <c r="O82" s="11">
        <v>1</v>
      </c>
      <c r="P82">
        <v>205</v>
      </c>
      <c r="Q82" t="s">
        <v>502</v>
      </c>
      <c r="R82" t="s">
        <v>559</v>
      </c>
      <c r="S82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('165','2021-12-09 14:00','1','1683','Cancelled - 24/11/21.','3','4','1','0','1','50','Andrew Toendepi','admin@authentickare.co.uk','07711284904','149 Westmininster Dr, MK36LP.','2','12','0','0','2021-11-15','0');</v>
      </c>
    </row>
    <row r="83" spans="1:19" x14ac:dyDescent="0.2">
      <c r="A83" s="7" t="s">
        <v>470</v>
      </c>
      <c r="B83" s="33">
        <v>149</v>
      </c>
      <c r="C83" s="13">
        <v>25</v>
      </c>
      <c r="D83" s="11">
        <v>3</v>
      </c>
      <c r="E83" s="3">
        <v>75</v>
      </c>
      <c r="F83" s="34">
        <v>1310</v>
      </c>
      <c r="G83" s="34">
        <v>0</v>
      </c>
      <c r="H83" s="11">
        <v>12</v>
      </c>
      <c r="I83" s="11">
        <v>4</v>
      </c>
      <c r="J83" s="21" t="s">
        <v>359</v>
      </c>
      <c r="K83" s="14" t="s">
        <v>153</v>
      </c>
      <c r="L83" s="6">
        <v>44540.375</v>
      </c>
      <c r="M83" s="6" t="str">
        <f t="shared" si="2"/>
        <v>2021-12-10 09:00</v>
      </c>
      <c r="N83" s="11"/>
      <c r="O83" s="11">
        <v>1</v>
      </c>
      <c r="P83">
        <v>85</v>
      </c>
      <c r="Q83" t="s">
        <v>523</v>
      </c>
      <c r="R83" t="s">
        <v>580</v>
      </c>
      <c r="S83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('149','2021-12-10 09:00','3','0','','3','25','1','0','1','75','Oscar Thompson','oscar@treesforcities.org','07591387653','9 Cormont road (to enter Myatts Field Park), SE59RA.','4','12','0','0','2021-11-30','1310');</v>
      </c>
    </row>
    <row r="84" spans="1:19" x14ac:dyDescent="0.2">
      <c r="A84" s="7" t="s">
        <v>471</v>
      </c>
      <c r="B84" s="11">
        <v>185</v>
      </c>
      <c r="C84" s="13">
        <v>4</v>
      </c>
      <c r="D84" s="11">
        <v>1</v>
      </c>
      <c r="E84" s="3">
        <v>50</v>
      </c>
      <c r="F84" s="34">
        <v>0</v>
      </c>
      <c r="G84" s="11">
        <v>1691</v>
      </c>
      <c r="H84" s="11">
        <v>12</v>
      </c>
      <c r="I84" s="11">
        <v>4</v>
      </c>
      <c r="J84" s="21" t="s">
        <v>360</v>
      </c>
      <c r="K84" s="14" t="s">
        <v>157</v>
      </c>
      <c r="L84" s="6">
        <v>44541.354166666664</v>
      </c>
      <c r="M84" s="6" t="str">
        <f t="shared" si="2"/>
        <v>2021-12-11 08:30</v>
      </c>
      <c r="N84" s="11"/>
      <c r="O84" s="11">
        <v>1</v>
      </c>
      <c r="P84">
        <v>243</v>
      </c>
      <c r="Q84" t="s">
        <v>524</v>
      </c>
      <c r="R84" t="s">
        <v>581</v>
      </c>
      <c r="S84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('185','2021-12-11 08:30','1','1691','','3','4','1','0','1','50','Nitish Bhardwaj','k.rakesh48@yahoo.it','07436554783','Ash St, Leicester, LE50DA.','4','12','0','0','2021-12-01','0');</v>
      </c>
    </row>
    <row r="85" spans="1:19" x14ac:dyDescent="0.2">
      <c r="A85" s="7" t="s">
        <v>471</v>
      </c>
      <c r="B85" s="11">
        <v>185</v>
      </c>
      <c r="C85" s="13">
        <v>4</v>
      </c>
      <c r="D85" s="11">
        <v>1</v>
      </c>
      <c r="E85" s="3">
        <v>50</v>
      </c>
      <c r="F85" s="34">
        <v>0</v>
      </c>
      <c r="G85" s="11">
        <v>1688</v>
      </c>
      <c r="H85" s="11">
        <v>12</v>
      </c>
      <c r="I85" s="11">
        <v>2</v>
      </c>
      <c r="J85" s="21" t="s">
        <v>360</v>
      </c>
      <c r="K85" s="14" t="s">
        <v>157</v>
      </c>
      <c r="L85" s="6">
        <v>44541.354166666664</v>
      </c>
      <c r="M85" s="6" t="str">
        <f t="shared" si="2"/>
        <v>2021-12-11 08:30</v>
      </c>
      <c r="N85" s="11"/>
      <c r="O85" s="11">
        <v>1</v>
      </c>
      <c r="P85">
        <v>243</v>
      </c>
      <c r="Q85" t="s">
        <v>524</v>
      </c>
      <c r="R85" t="s">
        <v>581</v>
      </c>
      <c r="S85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('185','2021-12-11 08:30','1','1688','','3','4','1','0','1','50','Nitish Bhardwaj','k.rakesh48@yahoo.it','07436554783','Ash St, Leicester, LE50DA.','2','12','0','0','2021-12-01','0');</v>
      </c>
    </row>
    <row r="86" spans="1:19" x14ac:dyDescent="0.2">
      <c r="A86" s="22" t="s">
        <v>471</v>
      </c>
      <c r="B86" s="17">
        <v>185</v>
      </c>
      <c r="C86" s="23">
        <v>4</v>
      </c>
      <c r="D86" s="11">
        <v>1</v>
      </c>
      <c r="E86" s="4">
        <v>50</v>
      </c>
      <c r="F86" s="34">
        <v>0</v>
      </c>
      <c r="G86" s="17">
        <v>1687</v>
      </c>
      <c r="H86" s="11">
        <v>12</v>
      </c>
      <c r="I86" s="11">
        <v>2</v>
      </c>
      <c r="J86" s="21" t="s">
        <v>360</v>
      </c>
      <c r="K86" s="24" t="s">
        <v>157</v>
      </c>
      <c r="L86" s="6">
        <v>44541.354166666664</v>
      </c>
      <c r="M86" s="6" t="str">
        <f t="shared" si="2"/>
        <v>2021-12-11 08:30</v>
      </c>
      <c r="N86" s="17"/>
      <c r="O86" s="11">
        <v>1</v>
      </c>
      <c r="P86">
        <v>243</v>
      </c>
      <c r="Q86" t="s">
        <v>524</v>
      </c>
      <c r="R86" t="s">
        <v>581</v>
      </c>
      <c r="S86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('185','2021-12-11 08:30','1','1687','','3','4','1','0','1','50','Nitish Bhardwaj','k.rakesh48@yahoo.it','07436554783','Ash St, Leicester, LE50DA.','2','12','0','0','2021-12-01','0');</v>
      </c>
    </row>
    <row r="87" spans="1:19" x14ac:dyDescent="0.2">
      <c r="A87" s="7" t="s">
        <v>471</v>
      </c>
      <c r="B87" s="11">
        <v>185</v>
      </c>
      <c r="C87" s="13">
        <v>4</v>
      </c>
      <c r="D87" s="11">
        <v>1</v>
      </c>
      <c r="E87" s="3">
        <v>50</v>
      </c>
      <c r="F87" s="34">
        <v>0</v>
      </c>
      <c r="G87" s="11">
        <v>1690</v>
      </c>
      <c r="H87" s="11">
        <v>12</v>
      </c>
      <c r="I87" s="11">
        <v>2</v>
      </c>
      <c r="J87" s="21" t="s">
        <v>360</v>
      </c>
      <c r="K87" s="14" t="s">
        <v>157</v>
      </c>
      <c r="L87" s="6">
        <v>44541.354166666664</v>
      </c>
      <c r="M87" s="6" t="str">
        <f t="shared" si="2"/>
        <v>2021-12-11 08:30</v>
      </c>
      <c r="N87" s="11"/>
      <c r="O87" s="11">
        <v>1</v>
      </c>
      <c r="P87">
        <v>243</v>
      </c>
      <c r="Q87" t="s">
        <v>524</v>
      </c>
      <c r="R87" t="s">
        <v>581</v>
      </c>
      <c r="S87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('185','2021-12-11 08:30','1','1690','','3','4','1','0','1','50','Nitish Bhardwaj','k.rakesh48@yahoo.it','07436554783','Ash St, Leicester, LE50DA.','2','12','0','0','2021-12-01','0');</v>
      </c>
    </row>
    <row r="88" spans="1:19" x14ac:dyDescent="0.2">
      <c r="A88" s="7" t="s">
        <v>471</v>
      </c>
      <c r="B88" s="11">
        <v>185</v>
      </c>
      <c r="C88" s="13">
        <v>4</v>
      </c>
      <c r="D88" s="11">
        <v>1</v>
      </c>
      <c r="E88" s="3">
        <v>50</v>
      </c>
      <c r="F88" s="34">
        <v>0</v>
      </c>
      <c r="G88" s="11">
        <v>1689</v>
      </c>
      <c r="H88" s="11">
        <v>12</v>
      </c>
      <c r="I88" s="11">
        <v>2</v>
      </c>
      <c r="J88" s="21" t="s">
        <v>360</v>
      </c>
      <c r="K88" s="14" t="s">
        <v>157</v>
      </c>
      <c r="L88" s="6">
        <v>44541.354166666664</v>
      </c>
      <c r="M88" s="6" t="str">
        <f t="shared" si="2"/>
        <v>2021-12-11 08:30</v>
      </c>
      <c r="N88" s="11"/>
      <c r="O88" s="11">
        <v>1</v>
      </c>
      <c r="P88">
        <v>243</v>
      </c>
      <c r="Q88" t="s">
        <v>524</v>
      </c>
      <c r="R88" t="s">
        <v>581</v>
      </c>
      <c r="S88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('185','2021-12-11 08:30','1','1689','','3','4','1','0','1','50','Nitish Bhardwaj','k.rakesh48@yahoo.it','07436554783','Ash St, Leicester, LE50DA.','2','12','0','0','2021-12-01','0');</v>
      </c>
    </row>
    <row r="89" spans="1:19" x14ac:dyDescent="0.2">
      <c r="A89" s="7" t="s">
        <v>471</v>
      </c>
      <c r="B89" s="11">
        <v>185</v>
      </c>
      <c r="C89" s="13">
        <v>14</v>
      </c>
      <c r="D89" s="11">
        <v>1</v>
      </c>
      <c r="E89" s="3">
        <v>300</v>
      </c>
      <c r="F89" s="34">
        <v>0</v>
      </c>
      <c r="G89" s="11">
        <v>1693</v>
      </c>
      <c r="H89" s="11">
        <v>12</v>
      </c>
      <c r="I89" s="11">
        <v>2</v>
      </c>
      <c r="J89" s="21" t="s">
        <v>360</v>
      </c>
      <c r="K89" s="14" t="s">
        <v>157</v>
      </c>
      <c r="L89" s="6">
        <v>44541.354166666664</v>
      </c>
      <c r="M89" s="6" t="str">
        <f t="shared" si="2"/>
        <v>2021-12-11 08:30</v>
      </c>
      <c r="N89" s="11"/>
      <c r="O89" s="11">
        <v>1</v>
      </c>
      <c r="P89">
        <v>243</v>
      </c>
      <c r="Q89" t="s">
        <v>524</v>
      </c>
      <c r="R89" t="s">
        <v>581</v>
      </c>
      <c r="S89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('185','2021-12-11 08:30','1','1693','','3','14','1','0','1','300','Nitish Bhardwaj','k.rakesh48@yahoo.it','07436554783','Ash St, Leicester, LE50DA.','2','12','0','0','2021-12-01','0');</v>
      </c>
    </row>
    <row r="90" spans="1:19" x14ac:dyDescent="0.2">
      <c r="A90" s="7" t="s">
        <v>471</v>
      </c>
      <c r="B90" s="11">
        <v>185</v>
      </c>
      <c r="C90" s="13">
        <v>14</v>
      </c>
      <c r="D90" s="11">
        <v>1</v>
      </c>
      <c r="E90" s="3">
        <v>300</v>
      </c>
      <c r="F90" s="34">
        <v>0</v>
      </c>
      <c r="G90" s="11">
        <v>0</v>
      </c>
      <c r="H90" s="11">
        <v>12</v>
      </c>
      <c r="I90" s="11">
        <v>2</v>
      </c>
      <c r="J90" s="11" t="s">
        <v>360</v>
      </c>
      <c r="K90" s="14" t="s">
        <v>157</v>
      </c>
      <c r="L90" s="6">
        <v>44541.354166666664</v>
      </c>
      <c r="M90" s="6" t="str">
        <f t="shared" si="2"/>
        <v>2021-12-11 08:30</v>
      </c>
      <c r="N90" s="11"/>
      <c r="O90" s="11">
        <v>1</v>
      </c>
      <c r="P90">
        <v>243</v>
      </c>
      <c r="Q90" t="s">
        <v>524</v>
      </c>
      <c r="R90" t="s">
        <v>581</v>
      </c>
      <c r="S90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('185','2021-12-11 08:30','1','0','','3','14','1','0','1','300','Nitish Bhardwaj','k.rakesh48@yahoo.it','07436554783','Ash St, Leicester, LE50DA.','2','12','0','0','2021-12-01','0');</v>
      </c>
    </row>
    <row r="91" spans="1:19" x14ac:dyDescent="0.2">
      <c r="A91" s="7" t="s">
        <v>468</v>
      </c>
      <c r="B91" s="32">
        <v>18</v>
      </c>
      <c r="C91" s="13">
        <v>6</v>
      </c>
      <c r="D91" s="11">
        <v>2</v>
      </c>
      <c r="E91" s="3">
        <v>50</v>
      </c>
      <c r="F91" s="34">
        <v>0</v>
      </c>
      <c r="G91" s="11">
        <v>182</v>
      </c>
      <c r="H91" s="11">
        <v>12</v>
      </c>
      <c r="I91" s="11">
        <v>2</v>
      </c>
      <c r="J91" s="11" t="s">
        <v>361</v>
      </c>
      <c r="K91" s="14" t="s">
        <v>166</v>
      </c>
      <c r="L91" s="6">
        <v>44544.333333333336</v>
      </c>
      <c r="M91" s="6" t="str">
        <f t="shared" si="2"/>
        <v>2021-12-14 08:00</v>
      </c>
      <c r="N91" s="11" t="s">
        <v>444</v>
      </c>
      <c r="O91" s="11">
        <v>1</v>
      </c>
      <c r="P91">
        <v>17</v>
      </c>
      <c r="Q91" t="s">
        <v>525</v>
      </c>
      <c r="R91" t="s">
        <v>582</v>
      </c>
      <c r="S91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('18','2021-12-14 08:00','2','182','Faulty monitor. Need to send Jim Monitor. Cancelled 02/12/21.','3','6','1','0','1','50','Mo Maan','accounts@skipit.london','02073841221','Skip it, College Rd, KT174JA.','2','12','0','0','2021-11-23','0');</v>
      </c>
    </row>
    <row r="92" spans="1:19" x14ac:dyDescent="0.2">
      <c r="A92" s="7" t="s">
        <v>470</v>
      </c>
      <c r="B92" s="32">
        <v>18</v>
      </c>
      <c r="C92" s="13">
        <v>6</v>
      </c>
      <c r="D92" s="11">
        <v>2</v>
      </c>
      <c r="E92" s="3">
        <v>50</v>
      </c>
      <c r="F92" s="34">
        <v>0</v>
      </c>
      <c r="G92" s="11">
        <v>181</v>
      </c>
      <c r="H92" s="11">
        <v>12</v>
      </c>
      <c r="I92" s="11">
        <v>2</v>
      </c>
      <c r="J92" s="11" t="s">
        <v>361</v>
      </c>
      <c r="K92" s="14" t="s">
        <v>166</v>
      </c>
      <c r="L92" s="6">
        <v>44544.333333333336</v>
      </c>
      <c r="M92" s="6" t="str">
        <f t="shared" si="2"/>
        <v>2021-12-14 08:00</v>
      </c>
      <c r="N92" s="11" t="s">
        <v>168</v>
      </c>
      <c r="O92" s="11">
        <v>1</v>
      </c>
      <c r="P92">
        <v>17</v>
      </c>
      <c r="Q92" t="s">
        <v>525</v>
      </c>
      <c r="R92" t="s">
        <v>582</v>
      </c>
      <c r="S92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('18','2021-12-14 08:00','2','181','Cancelled 02/12/21.','3','6','1','0','1','50','Mo Maan','accounts@skipit.london','02073841221','Skip it, College Rd, KT174JA.','2','12','0','0','2021-11-30','0');</v>
      </c>
    </row>
    <row r="93" spans="1:19" x14ac:dyDescent="0.2">
      <c r="A93" s="7" t="s">
        <v>473</v>
      </c>
      <c r="B93" s="11">
        <v>93</v>
      </c>
      <c r="C93" s="13">
        <v>15</v>
      </c>
      <c r="D93" s="11">
        <v>2</v>
      </c>
      <c r="E93" s="3">
        <v>55</v>
      </c>
      <c r="F93" s="34">
        <v>0</v>
      </c>
      <c r="G93" s="11">
        <v>1004</v>
      </c>
      <c r="H93" s="11">
        <v>12</v>
      </c>
      <c r="I93" s="11">
        <v>2</v>
      </c>
      <c r="J93" s="11" t="s">
        <v>362</v>
      </c>
      <c r="K93" s="14" t="s">
        <v>171</v>
      </c>
      <c r="L93" s="6">
        <v>44545.583333333336</v>
      </c>
      <c r="M93" s="6" t="str">
        <f t="shared" si="2"/>
        <v>2021-12-15 14:00</v>
      </c>
      <c r="N93" s="11"/>
      <c r="O93" s="11">
        <v>1</v>
      </c>
      <c r="P93">
        <v>70</v>
      </c>
      <c r="Q93" t="s">
        <v>526</v>
      </c>
      <c r="R93" t="s">
        <v>583</v>
      </c>
      <c r="S93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('93','2021-12-15 14:00','2','1004','','3','15','1','0','1','55','Alison Sparrow','AlisonSparrow@voyagecare.com','01945464286','Barton Rd, Wisbech, PE134TG.','2','12','0','0','2021-12-06','0');</v>
      </c>
    </row>
    <row r="94" spans="1:19" x14ac:dyDescent="0.2">
      <c r="A94" s="7" t="s">
        <v>465</v>
      </c>
      <c r="B94" s="11">
        <v>178</v>
      </c>
      <c r="C94" s="31">
        <v>4</v>
      </c>
      <c r="D94" s="11">
        <v>1</v>
      </c>
      <c r="E94" s="3">
        <v>50</v>
      </c>
      <c r="F94" s="34">
        <v>0</v>
      </c>
      <c r="G94" s="11">
        <v>1695</v>
      </c>
      <c r="H94" s="11">
        <v>13</v>
      </c>
      <c r="I94" s="11">
        <v>2</v>
      </c>
      <c r="J94" s="11" t="s">
        <v>363</v>
      </c>
      <c r="K94" s="14" t="s">
        <v>173</v>
      </c>
      <c r="L94" s="6">
        <v>44545.708333333336</v>
      </c>
      <c r="M94" s="6" t="str">
        <f t="shared" si="2"/>
        <v>2021-12-15 17:00</v>
      </c>
      <c r="N94" s="11" t="s">
        <v>174</v>
      </c>
      <c r="O94" s="11">
        <v>1</v>
      </c>
      <c r="P94">
        <v>230</v>
      </c>
      <c r="Q94" t="s">
        <v>505</v>
      </c>
      <c r="R94" t="s">
        <v>562</v>
      </c>
      <c r="S94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('178','2021-12-15 17:00','1','1695','Registration previously given CN19CXK.','3','4','1','0','1','50','Simon Harrison','simon.harrison@the4allgroup.com','07841015818','Courier Bridge, water Ave, bolton, BL51EE.','2','13','0','0','2021-11-16','0');</v>
      </c>
    </row>
    <row r="95" spans="1:19" x14ac:dyDescent="0.2">
      <c r="A95" s="7" t="s">
        <v>465</v>
      </c>
      <c r="B95" s="11">
        <v>178</v>
      </c>
      <c r="C95" s="31">
        <v>4</v>
      </c>
      <c r="D95" s="11">
        <v>1</v>
      </c>
      <c r="E95" s="3">
        <v>50</v>
      </c>
      <c r="F95" s="34">
        <v>0</v>
      </c>
      <c r="G95" s="11">
        <v>1696</v>
      </c>
      <c r="H95" s="11">
        <v>13</v>
      </c>
      <c r="I95" s="11">
        <v>2</v>
      </c>
      <c r="J95" s="11" t="s">
        <v>363</v>
      </c>
      <c r="K95" s="14" t="s">
        <v>173</v>
      </c>
      <c r="L95" s="6">
        <v>44545.708333333336</v>
      </c>
      <c r="M95" s="6" t="str">
        <f t="shared" si="2"/>
        <v>2021-12-15 17:00</v>
      </c>
      <c r="N95" s="11"/>
      <c r="O95" s="11">
        <v>1</v>
      </c>
      <c r="P95">
        <v>230</v>
      </c>
      <c r="Q95" t="s">
        <v>505</v>
      </c>
      <c r="R95" t="s">
        <v>562</v>
      </c>
      <c r="S95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('178','2021-12-15 17:00','1','1696','','3','4','1','0','1','50','Simon Harrison','simon.harrison@the4allgroup.com','07841015818','Courier Bridge, water Ave, bolton, BL51EE.','2','13','0','0','2021-11-16','0');</v>
      </c>
    </row>
    <row r="96" spans="1:19" x14ac:dyDescent="0.2">
      <c r="A96" s="7" t="s">
        <v>465</v>
      </c>
      <c r="B96" s="11">
        <v>178</v>
      </c>
      <c r="C96" s="31">
        <v>4</v>
      </c>
      <c r="D96" s="11">
        <v>1</v>
      </c>
      <c r="E96" s="3">
        <v>50</v>
      </c>
      <c r="F96" s="34">
        <v>0</v>
      </c>
      <c r="G96" s="11">
        <v>1697</v>
      </c>
      <c r="H96" s="11">
        <v>13</v>
      </c>
      <c r="I96" s="11">
        <v>2</v>
      </c>
      <c r="J96" s="11" t="s">
        <v>363</v>
      </c>
      <c r="K96" s="14" t="s">
        <v>173</v>
      </c>
      <c r="L96" s="6">
        <v>44545.708333333336</v>
      </c>
      <c r="M96" s="6" t="str">
        <f t="shared" si="2"/>
        <v>2021-12-15 17:00</v>
      </c>
      <c r="N96" s="11"/>
      <c r="O96" s="11">
        <v>1</v>
      </c>
      <c r="P96">
        <v>230</v>
      </c>
      <c r="Q96" t="s">
        <v>505</v>
      </c>
      <c r="R96" t="s">
        <v>562</v>
      </c>
      <c r="S96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('178','2021-12-15 17:00','1','1697','','3','4','1','0','1','50','Simon Harrison','simon.harrison@the4allgroup.com','07841015818','Courier Bridge, water Ave, bolton, BL51EE.','2','13','0','0','2021-11-16','0');</v>
      </c>
    </row>
    <row r="97" spans="1:19" x14ac:dyDescent="0.2">
      <c r="A97" s="7" t="s">
        <v>474</v>
      </c>
      <c r="B97" s="11">
        <v>143</v>
      </c>
      <c r="C97" s="13">
        <v>5</v>
      </c>
      <c r="D97" s="11">
        <v>1</v>
      </c>
      <c r="E97" s="3">
        <v>55</v>
      </c>
      <c r="F97" s="34">
        <v>0</v>
      </c>
      <c r="G97" s="11">
        <v>1269</v>
      </c>
      <c r="H97" s="11">
        <v>12</v>
      </c>
      <c r="I97" s="11">
        <v>2</v>
      </c>
      <c r="J97" s="11" t="s">
        <v>364</v>
      </c>
      <c r="K97" s="14" t="s">
        <v>179</v>
      </c>
      <c r="L97" s="6">
        <v>44545.791666666664</v>
      </c>
      <c r="M97" s="6" t="str">
        <f t="shared" si="2"/>
        <v>2021-12-15 19:00</v>
      </c>
      <c r="N97" s="11"/>
      <c r="O97" s="11">
        <v>1</v>
      </c>
      <c r="P97">
        <v>123</v>
      </c>
      <c r="Q97" t="s">
        <v>527</v>
      </c>
      <c r="R97" t="s">
        <v>584</v>
      </c>
      <c r="S97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('143','2021-12-15 19:00','1','1269','','3','5','1','0','1','55','Matthew Rose','matt@maade.co','07775594081','Acton Mews, Arch 337, London, E84EF.','2','12','0','0','2021-12-08','0');</v>
      </c>
    </row>
    <row r="98" spans="1:19" x14ac:dyDescent="0.2">
      <c r="A98" s="7" t="s">
        <v>475</v>
      </c>
      <c r="B98" s="11">
        <v>59</v>
      </c>
      <c r="C98" s="13">
        <v>5</v>
      </c>
      <c r="D98" s="11">
        <v>1</v>
      </c>
      <c r="E98" s="3">
        <v>55</v>
      </c>
      <c r="F98" s="34">
        <v>0</v>
      </c>
      <c r="G98" s="11">
        <v>1699</v>
      </c>
      <c r="H98" s="11">
        <v>12</v>
      </c>
      <c r="I98" s="11">
        <v>2</v>
      </c>
      <c r="J98" s="11" t="s">
        <v>365</v>
      </c>
      <c r="K98" s="11" t="s">
        <v>7</v>
      </c>
      <c r="L98" s="6">
        <v>44546.625</v>
      </c>
      <c r="M98" s="6" t="str">
        <f t="shared" si="2"/>
        <v>2021-12-16 15:00</v>
      </c>
      <c r="N98" s="11"/>
      <c r="O98" s="11">
        <v>1</v>
      </c>
      <c r="P98">
        <v>91</v>
      </c>
      <c r="Q98" t="s">
        <v>500</v>
      </c>
      <c r="R98" t="s">
        <v>557</v>
      </c>
      <c r="S98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('59','2021-12-16 15:00','1','1699','','3','5','1','0','1','55','Marc Goldin','info@pandjtransport.co.uk','01323745443 / 07891333333','20 Vickers Dr N, Weybridge, KT130YU.','2','12','0','0','2021-12-15','0');</v>
      </c>
    </row>
    <row r="99" spans="1:19" x14ac:dyDescent="0.2">
      <c r="A99" s="7" t="s">
        <v>475</v>
      </c>
      <c r="B99" s="11">
        <v>59</v>
      </c>
      <c r="C99" s="13">
        <v>5</v>
      </c>
      <c r="D99" s="11">
        <v>1</v>
      </c>
      <c r="E99" s="3">
        <v>55</v>
      </c>
      <c r="F99" s="34">
        <v>0</v>
      </c>
      <c r="G99" s="11">
        <v>1700</v>
      </c>
      <c r="H99" s="11">
        <v>12</v>
      </c>
      <c r="I99" s="11">
        <v>2</v>
      </c>
      <c r="J99" s="11" t="s">
        <v>365</v>
      </c>
      <c r="K99" s="11" t="s">
        <v>7</v>
      </c>
      <c r="L99" s="6">
        <v>44546.625</v>
      </c>
      <c r="M99" s="6" t="str">
        <f t="shared" si="2"/>
        <v>2021-12-16 15:00</v>
      </c>
      <c r="N99" s="11"/>
      <c r="O99" s="11">
        <v>1</v>
      </c>
      <c r="P99">
        <v>91</v>
      </c>
      <c r="Q99" t="s">
        <v>500</v>
      </c>
      <c r="R99" t="s">
        <v>557</v>
      </c>
      <c r="S99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('59','2021-12-16 15:00','1','1700','','3','5','1','0','1','55','Marc Goldin','info@pandjtransport.co.uk','01323745443 / 07891333333','20 Vickers Dr N, Weybridge, KT130YU.','2','12','0','0','2021-12-15','0');</v>
      </c>
    </row>
    <row r="100" spans="1:19" x14ac:dyDescent="0.2">
      <c r="A100" s="7" t="s">
        <v>473</v>
      </c>
      <c r="B100" s="11">
        <v>128</v>
      </c>
      <c r="C100" s="13">
        <v>4</v>
      </c>
      <c r="D100" s="11">
        <v>1</v>
      </c>
      <c r="E100" s="3">
        <v>50</v>
      </c>
      <c r="F100" s="34">
        <v>0</v>
      </c>
      <c r="G100" s="11">
        <v>1704</v>
      </c>
      <c r="H100" s="11">
        <v>13</v>
      </c>
      <c r="I100" s="11">
        <v>2</v>
      </c>
      <c r="J100" s="11" t="s">
        <v>367</v>
      </c>
      <c r="K100" s="14" t="s">
        <v>187</v>
      </c>
      <c r="L100" s="6">
        <v>44549.416666666664</v>
      </c>
      <c r="M100" s="6" t="str">
        <f t="shared" si="2"/>
        <v>2021-12-19 10:00</v>
      </c>
      <c r="N100" s="11"/>
      <c r="O100" s="11">
        <v>1</v>
      </c>
      <c r="P100">
        <v>134</v>
      </c>
      <c r="Q100" t="s">
        <v>528</v>
      </c>
      <c r="R100" t="s">
        <v>585</v>
      </c>
      <c r="S100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('128','2021-12-19 10:00','1','1704','','3','4','1','0','1','50','Shahbaz Khan','shahbaz.khan@dropboxlogistics.com','07714236043','Starbank, Junction lane, Valley Industrial estate, Newton le Willows, WA129DN.','2','13','0','0','2021-12-06','0');</v>
      </c>
    </row>
    <row r="101" spans="1:19" x14ac:dyDescent="0.2">
      <c r="A101" s="7" t="s">
        <v>476</v>
      </c>
      <c r="B101" s="11">
        <v>128</v>
      </c>
      <c r="C101" s="13">
        <v>4</v>
      </c>
      <c r="D101" s="11">
        <v>2</v>
      </c>
      <c r="E101" s="3">
        <v>50</v>
      </c>
      <c r="F101" s="34">
        <v>0</v>
      </c>
      <c r="G101" s="11">
        <v>1383</v>
      </c>
      <c r="H101" s="11">
        <v>13</v>
      </c>
      <c r="I101" s="11">
        <v>2</v>
      </c>
      <c r="J101" s="11"/>
      <c r="K101" s="14" t="s">
        <v>189</v>
      </c>
      <c r="L101" s="6">
        <v>44549.416666666664</v>
      </c>
      <c r="M101" s="6" t="str">
        <f t="shared" si="2"/>
        <v>2021-12-19 10:00</v>
      </c>
      <c r="N101" s="11"/>
      <c r="O101" s="11">
        <v>1</v>
      </c>
      <c r="P101">
        <v>134</v>
      </c>
      <c r="Q101" t="s">
        <v>528</v>
      </c>
      <c r="R101" t="s">
        <v>585</v>
      </c>
      <c r="S101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('128','2021-12-19 10:00','2','1383','','3','4','1','0','1','50','Shahbaz Khan','shahbaz.khan@dropboxlogistics.com','07392707452','','2','13','0','0','2021-12-19','0');</v>
      </c>
    </row>
    <row r="102" spans="1:19" x14ac:dyDescent="0.2">
      <c r="A102" s="7" t="s">
        <v>477</v>
      </c>
      <c r="B102" s="11">
        <v>186</v>
      </c>
      <c r="C102" s="13">
        <v>4</v>
      </c>
      <c r="D102" s="11">
        <v>1</v>
      </c>
      <c r="E102" s="3">
        <v>50</v>
      </c>
      <c r="F102" s="34">
        <v>0</v>
      </c>
      <c r="G102" s="11">
        <v>1702</v>
      </c>
      <c r="H102" s="11">
        <v>13</v>
      </c>
      <c r="I102" s="11">
        <v>2</v>
      </c>
      <c r="J102" s="11" t="s">
        <v>366</v>
      </c>
      <c r="K102" s="14" t="s">
        <v>183</v>
      </c>
      <c r="L102" s="6">
        <v>44549.708333333336</v>
      </c>
      <c r="M102" s="6" t="str">
        <f t="shared" si="2"/>
        <v>2021-12-19 17:00</v>
      </c>
      <c r="N102" s="11"/>
      <c r="O102" s="11">
        <v>1</v>
      </c>
      <c r="P102">
        <v>244</v>
      </c>
      <c r="Q102" t="s">
        <v>529</v>
      </c>
      <c r="R102" t="s">
        <v>586</v>
      </c>
      <c r="S102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('186','2021-12-19 17:00','1','1702','','3','4','1','0','1','50','Laura Fogliata','admin@nalogistics.co.uk','08000096614','31-33 Longbridge Ln, Ascot drive, Derby, DE248UJ.','2','13','0','0','2021-11-12','0');</v>
      </c>
    </row>
    <row r="103" spans="1:19" x14ac:dyDescent="0.2">
      <c r="A103" s="7" t="s">
        <v>477</v>
      </c>
      <c r="B103" s="11">
        <v>186</v>
      </c>
      <c r="C103" s="13">
        <v>4</v>
      </c>
      <c r="D103" s="11">
        <v>1</v>
      </c>
      <c r="E103" s="3">
        <v>50</v>
      </c>
      <c r="F103" s="34">
        <v>0</v>
      </c>
      <c r="G103" s="11">
        <v>1703</v>
      </c>
      <c r="H103" s="11">
        <v>13</v>
      </c>
      <c r="I103" s="11">
        <v>2</v>
      </c>
      <c r="J103" s="11" t="s">
        <v>366</v>
      </c>
      <c r="K103" s="14" t="s">
        <v>183</v>
      </c>
      <c r="L103" s="6">
        <v>44549.708333333336</v>
      </c>
      <c r="M103" s="6" t="str">
        <f t="shared" si="2"/>
        <v>2021-12-19 17:00</v>
      </c>
      <c r="N103" s="11"/>
      <c r="O103" s="11">
        <v>1</v>
      </c>
      <c r="P103">
        <v>244</v>
      </c>
      <c r="Q103" t="s">
        <v>529</v>
      </c>
      <c r="R103" t="s">
        <v>586</v>
      </c>
      <c r="S103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('186','2021-12-19 17:00','1','1703','','3','4','1','0','1','50','Laura Fogliata','admin@nalogistics.co.uk','08000096614','31-33 Longbridge Ln, Ascot drive, Derby, DE248UJ.','2','13','0','0','2021-11-12','0');</v>
      </c>
    </row>
    <row r="104" spans="1:19" x14ac:dyDescent="0.2">
      <c r="A104" s="7" t="s">
        <v>478</v>
      </c>
      <c r="B104" s="11">
        <v>81</v>
      </c>
      <c r="C104" s="13">
        <v>5</v>
      </c>
      <c r="D104" s="11">
        <v>1</v>
      </c>
      <c r="E104" s="3">
        <v>55</v>
      </c>
      <c r="F104" s="34">
        <v>0</v>
      </c>
      <c r="G104" s="11">
        <v>1707</v>
      </c>
      <c r="H104" s="11">
        <v>12</v>
      </c>
      <c r="I104" s="11">
        <v>3</v>
      </c>
      <c r="J104" s="11" t="s">
        <v>368</v>
      </c>
      <c r="K104" s="14" t="s">
        <v>192</v>
      </c>
      <c r="L104" s="6">
        <v>44550.604166666664</v>
      </c>
      <c r="M104" s="6" t="str">
        <f t="shared" si="2"/>
        <v>2021-12-20 14:30</v>
      </c>
      <c r="N104" s="11"/>
      <c r="O104" s="11">
        <v>1</v>
      </c>
      <c r="P104">
        <v>116</v>
      </c>
      <c r="Q104" t="s">
        <v>530</v>
      </c>
      <c r="R104" t="s">
        <v>587</v>
      </c>
      <c r="S104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('81','2021-12-20 14:30','1','1707','','3','5','1','0','1','55','Linsey Westwood','l.westwood@savoyventures.com','01322388800','Maltese Court, Rawreth Lane, Rochford, Rayleigh, SS69RL.','3','12','0','0','2021-12-13','0');</v>
      </c>
    </row>
    <row r="105" spans="1:19" x14ac:dyDescent="0.2">
      <c r="A105" s="7" t="s">
        <v>475</v>
      </c>
      <c r="B105" s="11">
        <v>88</v>
      </c>
      <c r="C105" s="13">
        <v>15</v>
      </c>
      <c r="D105" s="11">
        <v>2</v>
      </c>
      <c r="E105" s="3">
        <v>55</v>
      </c>
      <c r="F105" s="34">
        <v>0</v>
      </c>
      <c r="G105" s="11">
        <v>974</v>
      </c>
      <c r="H105" s="11">
        <v>12</v>
      </c>
      <c r="I105" s="11">
        <v>2</v>
      </c>
      <c r="J105" s="11" t="s">
        <v>369</v>
      </c>
      <c r="K105" s="14" t="s">
        <v>29</v>
      </c>
      <c r="L105" s="6">
        <v>44552.416666666664</v>
      </c>
      <c r="M105" s="6" t="str">
        <f t="shared" si="2"/>
        <v>2021-12-22 10:00</v>
      </c>
      <c r="N105" s="11"/>
      <c r="O105" s="11">
        <v>1</v>
      </c>
      <c r="P105">
        <v>66</v>
      </c>
      <c r="Q105" t="s">
        <v>503</v>
      </c>
      <c r="R105" t="s">
        <v>560</v>
      </c>
      <c r="S105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('88','2021-12-22 10:00','2','974','','3','15','1','0','1','55','Russell Gould','RussellGould@toga.co.uk','02085335222','Unit 21 Commercial Way, Park Royal, NW107XF.','2','12','0','0','2021-12-15','0');</v>
      </c>
    </row>
    <row r="106" spans="1:19" x14ac:dyDescent="0.2">
      <c r="A106" s="7" t="s">
        <v>479</v>
      </c>
      <c r="B106" s="11">
        <v>59</v>
      </c>
      <c r="C106" s="13">
        <v>5</v>
      </c>
      <c r="D106" s="11">
        <v>3</v>
      </c>
      <c r="E106" s="3">
        <v>40</v>
      </c>
      <c r="F106" s="34">
        <v>1417</v>
      </c>
      <c r="G106" s="34">
        <v>0</v>
      </c>
      <c r="H106" s="11">
        <v>12</v>
      </c>
      <c r="I106" s="11">
        <v>4</v>
      </c>
      <c r="J106" s="11" t="s">
        <v>365</v>
      </c>
      <c r="K106" s="11" t="s">
        <v>7</v>
      </c>
      <c r="L106" s="6">
        <v>44553.416666666664</v>
      </c>
      <c r="M106" s="6" t="str">
        <f t="shared" si="2"/>
        <v>2021-12-23 10:00</v>
      </c>
      <c r="N106" s="11"/>
      <c r="O106" s="11">
        <v>1</v>
      </c>
      <c r="P106">
        <v>91</v>
      </c>
      <c r="Q106" t="s">
        <v>500</v>
      </c>
      <c r="R106" t="s">
        <v>557</v>
      </c>
      <c r="S106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('59','2021-12-23 10:00','3','0','','3','5','1','0','1','40','Marc Goldin','info@pandjtransport.co.uk','01323745443 / 07891333333','20 Vickers Dr N, Weybridge, KT130YU.','4','12','0','0','2021-12-20','1417');</v>
      </c>
    </row>
    <row r="107" spans="1:19" x14ac:dyDescent="0.2">
      <c r="A107" s="7" t="s">
        <v>479</v>
      </c>
      <c r="B107" s="11">
        <v>59</v>
      </c>
      <c r="C107" s="13">
        <v>5</v>
      </c>
      <c r="D107" s="11">
        <v>3</v>
      </c>
      <c r="E107" s="3">
        <v>40</v>
      </c>
      <c r="F107" s="34">
        <v>1361</v>
      </c>
      <c r="G107" s="34">
        <v>0</v>
      </c>
      <c r="H107" s="11">
        <v>12</v>
      </c>
      <c r="I107" s="11">
        <v>4</v>
      </c>
      <c r="J107" s="11" t="s">
        <v>365</v>
      </c>
      <c r="K107" s="11" t="s">
        <v>7</v>
      </c>
      <c r="L107" s="6">
        <v>44553.416666666664</v>
      </c>
      <c r="M107" s="6" t="str">
        <f t="shared" si="2"/>
        <v>2021-12-23 10:00</v>
      </c>
      <c r="N107" s="11"/>
      <c r="O107" s="11">
        <v>1</v>
      </c>
      <c r="P107">
        <v>91</v>
      </c>
      <c r="Q107" t="s">
        <v>500</v>
      </c>
      <c r="R107" t="s">
        <v>557</v>
      </c>
      <c r="S107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('59','2021-12-23 10:00','3','0','','3','5','1','0','1','40','Marc Goldin','info@pandjtransport.co.uk','01323745443 / 07891333333','20 Vickers Dr N, Weybridge, KT130YU.','4','12','0','0','2021-12-20','1361');</v>
      </c>
    </row>
    <row r="108" spans="1:19" x14ac:dyDescent="0.2">
      <c r="A108" s="7" t="s">
        <v>470</v>
      </c>
      <c r="B108" s="11">
        <v>62</v>
      </c>
      <c r="C108" s="13">
        <v>30</v>
      </c>
      <c r="D108" s="11">
        <v>2</v>
      </c>
      <c r="E108" s="3">
        <v>50</v>
      </c>
      <c r="F108" s="34">
        <v>0</v>
      </c>
      <c r="G108" s="11">
        <v>551</v>
      </c>
      <c r="H108" s="11">
        <v>13</v>
      </c>
      <c r="I108" s="11">
        <v>2</v>
      </c>
      <c r="J108" s="11" t="s">
        <v>350</v>
      </c>
      <c r="K108" s="14" t="s">
        <v>101</v>
      </c>
      <c r="L108" s="6">
        <v>44553.5</v>
      </c>
      <c r="M108" s="6" t="str">
        <f t="shared" si="2"/>
        <v>2021-12-23 12:00</v>
      </c>
      <c r="N108" s="11" t="s">
        <v>439</v>
      </c>
      <c r="O108" s="11">
        <v>1</v>
      </c>
      <c r="P108">
        <v>95</v>
      </c>
      <c r="Q108" t="s">
        <v>516</v>
      </c>
      <c r="R108" t="s">
        <v>573</v>
      </c>
      <c r="S108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('62','2021-12-23 12:00','2','551','Faulty left turn audible alarm.','3','30','1','0','1','50','Syed ','syedh57@yahoo.com','07459931011','Riverpark Trading Est, Riverpark Rd, M402XP.','2','13','0','0','2021-11-30','0');</v>
      </c>
    </row>
    <row r="109" spans="1:19" x14ac:dyDescent="0.2">
      <c r="A109" s="7" t="s">
        <v>470</v>
      </c>
      <c r="B109" s="11">
        <v>62</v>
      </c>
      <c r="C109" s="13">
        <v>13</v>
      </c>
      <c r="D109" s="11">
        <v>2</v>
      </c>
      <c r="E109" s="3">
        <v>50</v>
      </c>
      <c r="F109" s="34">
        <v>0</v>
      </c>
      <c r="G109" s="11">
        <v>550</v>
      </c>
      <c r="H109" s="11">
        <v>13</v>
      </c>
      <c r="I109" s="11">
        <v>2</v>
      </c>
      <c r="J109" s="11" t="s">
        <v>350</v>
      </c>
      <c r="K109" s="14" t="s">
        <v>101</v>
      </c>
      <c r="L109" s="6">
        <v>44553.5</v>
      </c>
      <c r="M109" s="6" t="str">
        <f t="shared" si="2"/>
        <v>2021-12-23 12:00</v>
      </c>
      <c r="N109" s="11"/>
      <c r="O109" s="11">
        <v>1</v>
      </c>
      <c r="P109">
        <v>95</v>
      </c>
      <c r="Q109" t="s">
        <v>516</v>
      </c>
      <c r="R109" t="s">
        <v>573</v>
      </c>
      <c r="S109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('62','2021-12-23 12:00','2','550','','3','13','1','0','1','50','Syed ','syedh57@yahoo.com','07459931011','Riverpark Trading Est, Riverpark Rd, M402XP.','2','13','0','0','2021-11-30','0');</v>
      </c>
    </row>
    <row r="110" spans="1:19" x14ac:dyDescent="0.2">
      <c r="A110" s="7" t="s">
        <v>480</v>
      </c>
      <c r="B110" s="11">
        <v>93</v>
      </c>
      <c r="C110" s="13">
        <v>15</v>
      </c>
      <c r="D110" s="11">
        <v>2</v>
      </c>
      <c r="E110" s="3">
        <v>55</v>
      </c>
      <c r="F110" s="34">
        <v>0</v>
      </c>
      <c r="G110" s="11">
        <v>1049</v>
      </c>
      <c r="H110" s="11">
        <v>12</v>
      </c>
      <c r="I110" s="11">
        <v>2</v>
      </c>
      <c r="J110" s="11" t="s">
        <v>370</v>
      </c>
      <c r="K110" s="14" t="s">
        <v>197</v>
      </c>
      <c r="L110" s="6">
        <v>44553.5</v>
      </c>
      <c r="M110" s="6" t="str">
        <f t="shared" si="2"/>
        <v>2021-12-23 12:00</v>
      </c>
      <c r="N110" s="11"/>
      <c r="O110" s="11">
        <v>1</v>
      </c>
      <c r="P110">
        <v>70</v>
      </c>
      <c r="Q110" t="s">
        <v>526</v>
      </c>
      <c r="R110" t="s">
        <v>583</v>
      </c>
      <c r="S110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('93','2021-12-23 12:00','2','1049','','3','15','1','0','1','55','Alison Sparrow','AlisonSparrow@voyagecare.com','07977032753','The Grove, High Pitfold, GU266BN.','2','12','0','0','2021-12-14','0');</v>
      </c>
    </row>
    <row r="111" spans="1:19" x14ac:dyDescent="0.2">
      <c r="A111" s="7" t="s">
        <v>481</v>
      </c>
      <c r="B111" s="11">
        <v>57</v>
      </c>
      <c r="C111" s="13">
        <v>7</v>
      </c>
      <c r="D111" s="11">
        <v>2</v>
      </c>
      <c r="E111" s="3">
        <v>50</v>
      </c>
      <c r="F111" s="34">
        <v>0</v>
      </c>
      <c r="G111" s="11">
        <v>486</v>
      </c>
      <c r="H111" s="11">
        <v>12</v>
      </c>
      <c r="I111" s="11">
        <v>2</v>
      </c>
      <c r="J111" s="11" t="s">
        <v>371</v>
      </c>
      <c r="K111" s="14" t="s">
        <v>200</v>
      </c>
      <c r="L111" s="6">
        <v>44553.625</v>
      </c>
      <c r="M111" s="6" t="str">
        <f t="shared" si="2"/>
        <v>2021-12-23 15:00</v>
      </c>
      <c r="N111" s="11" t="s">
        <v>201</v>
      </c>
      <c r="O111" s="11">
        <v>1</v>
      </c>
      <c r="P111">
        <v>86</v>
      </c>
      <c r="Q111" t="s">
        <v>531</v>
      </c>
      <c r="R111" t="s">
        <v>588</v>
      </c>
      <c r="S111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('57','2021-12-23 15:00','2','486','Forward facing cam reposition.','3','7','1','0','1','50','Baljit Bains','nanaktransportltd@gmail.com','07976930221','Euro Storage, Heathrow, TW62DN.','2','12','0','0','2021-12-09','0');</v>
      </c>
    </row>
    <row r="112" spans="1:19" x14ac:dyDescent="0.2">
      <c r="A112" s="7" t="s">
        <v>481</v>
      </c>
      <c r="B112" s="11">
        <v>57</v>
      </c>
      <c r="C112" s="13">
        <v>7</v>
      </c>
      <c r="D112" s="11">
        <v>2</v>
      </c>
      <c r="E112" s="3">
        <v>50</v>
      </c>
      <c r="F112" s="34">
        <v>0</v>
      </c>
      <c r="G112" s="11">
        <v>487</v>
      </c>
      <c r="H112" s="11">
        <v>12</v>
      </c>
      <c r="I112" s="11">
        <v>2</v>
      </c>
      <c r="J112" s="11" t="s">
        <v>371</v>
      </c>
      <c r="K112" s="14" t="s">
        <v>200</v>
      </c>
      <c r="L112" s="6">
        <v>44553.625</v>
      </c>
      <c r="M112" s="6" t="str">
        <f t="shared" si="2"/>
        <v>2021-12-23 15:00</v>
      </c>
      <c r="N112" s="11" t="s">
        <v>201</v>
      </c>
      <c r="O112" s="11">
        <v>1</v>
      </c>
      <c r="P112">
        <v>86</v>
      </c>
      <c r="Q112" t="s">
        <v>531</v>
      </c>
      <c r="R112" t="s">
        <v>588</v>
      </c>
      <c r="S112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('57','2021-12-23 15:00','2','487','Forward facing cam reposition.','3','7','1','0','1','50','Baljit Bains','nanaktransportltd@gmail.com','07976930221','Euro Storage, Heathrow, TW62DN.','2','12','0','0','2021-12-09','0');</v>
      </c>
    </row>
    <row r="113" spans="1:19" x14ac:dyDescent="0.2">
      <c r="A113" s="7" t="s">
        <v>481</v>
      </c>
      <c r="B113" s="11">
        <v>57</v>
      </c>
      <c r="C113" s="13">
        <v>7</v>
      </c>
      <c r="D113" s="11">
        <v>2</v>
      </c>
      <c r="E113" s="3">
        <v>50</v>
      </c>
      <c r="F113" s="34">
        <v>0</v>
      </c>
      <c r="G113" s="11">
        <v>483</v>
      </c>
      <c r="H113" s="11">
        <v>12</v>
      </c>
      <c r="I113" s="11">
        <v>2</v>
      </c>
      <c r="J113" s="11" t="s">
        <v>371</v>
      </c>
      <c r="K113" s="14" t="s">
        <v>200</v>
      </c>
      <c r="L113" s="6">
        <v>44553.625</v>
      </c>
      <c r="M113" s="6" t="str">
        <f t="shared" si="2"/>
        <v>2021-12-23 15:00</v>
      </c>
      <c r="N113" s="11" t="s">
        <v>204</v>
      </c>
      <c r="O113" s="11">
        <v>1</v>
      </c>
      <c r="P113">
        <v>86</v>
      </c>
      <c r="Q113" t="s">
        <v>531</v>
      </c>
      <c r="R113" t="s">
        <v>588</v>
      </c>
      <c r="S113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('57','2021-12-23 15:00','2','483','Forward facing cam reposition. DVR swap required.','3','7','1','0','1','50','Baljit Bains','nanaktransportltd@gmail.com','07976930221','Euro Storage, Heathrow, TW62DN.','2','12','0','0','2021-12-09','0');</v>
      </c>
    </row>
    <row r="114" spans="1:19" x14ac:dyDescent="0.2">
      <c r="A114" s="7" t="s">
        <v>481</v>
      </c>
      <c r="B114" s="11">
        <v>57</v>
      </c>
      <c r="C114" s="13">
        <v>7</v>
      </c>
      <c r="D114" s="11">
        <v>2</v>
      </c>
      <c r="E114" s="3">
        <v>50</v>
      </c>
      <c r="F114" s="34">
        <v>0</v>
      </c>
      <c r="G114" s="11">
        <v>874</v>
      </c>
      <c r="H114" s="11">
        <v>12</v>
      </c>
      <c r="I114" s="11">
        <v>2</v>
      </c>
      <c r="J114" s="11" t="s">
        <v>371</v>
      </c>
      <c r="K114" s="14" t="s">
        <v>200</v>
      </c>
      <c r="L114" s="6">
        <v>44553.625</v>
      </c>
      <c r="M114" s="6" t="str">
        <f t="shared" si="2"/>
        <v>2021-12-23 15:00</v>
      </c>
      <c r="N114" s="11" t="s">
        <v>206</v>
      </c>
      <c r="O114" s="11">
        <v>1</v>
      </c>
      <c r="P114">
        <v>86</v>
      </c>
      <c r="Q114" t="s">
        <v>531</v>
      </c>
      <c r="R114" t="s">
        <v>588</v>
      </c>
      <c r="S114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('57','2021-12-23 15:00','2','874','DVR swap required.','3','7','1','0','1','50','Baljit Bains','nanaktransportltd@gmail.com','07976930221','Euro Storage, Heathrow, TW62DN.','2','12','0','0','2021-12-09','0');</v>
      </c>
    </row>
    <row r="115" spans="1:19" x14ac:dyDescent="0.2">
      <c r="A115" s="7" t="s">
        <v>474</v>
      </c>
      <c r="B115" s="11">
        <v>187</v>
      </c>
      <c r="C115" s="13">
        <v>4</v>
      </c>
      <c r="D115" s="11">
        <v>1</v>
      </c>
      <c r="E115" s="3">
        <v>50</v>
      </c>
      <c r="F115" s="34">
        <v>0</v>
      </c>
      <c r="G115" s="11">
        <v>1717</v>
      </c>
      <c r="H115" s="11">
        <v>13</v>
      </c>
      <c r="I115" s="11">
        <v>2</v>
      </c>
      <c r="J115" s="11" t="s">
        <v>372</v>
      </c>
      <c r="K115" s="14" t="s">
        <v>209</v>
      </c>
      <c r="L115" s="6">
        <v>44559.5</v>
      </c>
      <c r="M115" s="6" t="str">
        <f t="shared" si="2"/>
        <v>2021-12-29 12:00</v>
      </c>
      <c r="N115" s="11"/>
      <c r="O115" s="11">
        <v>1</v>
      </c>
      <c r="P115">
        <v>245</v>
      </c>
      <c r="Q115" t="s">
        <v>532</v>
      </c>
      <c r="R115" t="s">
        <v>589</v>
      </c>
      <c r="S115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('187','2021-12-29 12:00','1','1717','','3','4','1','0','1','50','Zakir Badat','zakir@Ayphealthcare.co.uk','07754277636','160-164 Lancaster Road North, Access Via Lady Street, Preston, PR12PZ.','2','13','0','0','2021-12-08','0');</v>
      </c>
    </row>
    <row r="116" spans="1:19" x14ac:dyDescent="0.2">
      <c r="A116" s="7" t="s">
        <v>474</v>
      </c>
      <c r="B116" s="11">
        <v>187</v>
      </c>
      <c r="C116" s="13">
        <v>4</v>
      </c>
      <c r="D116" s="11">
        <v>1</v>
      </c>
      <c r="E116" s="3">
        <v>50</v>
      </c>
      <c r="F116" s="34">
        <v>0</v>
      </c>
      <c r="G116" s="11">
        <v>1716</v>
      </c>
      <c r="H116" s="11">
        <v>13</v>
      </c>
      <c r="I116" s="11">
        <v>2</v>
      </c>
      <c r="J116" s="11" t="s">
        <v>372</v>
      </c>
      <c r="K116" s="14" t="s">
        <v>209</v>
      </c>
      <c r="L116" s="6">
        <v>44559.5</v>
      </c>
      <c r="M116" s="6" t="str">
        <f t="shared" si="2"/>
        <v>2021-12-29 12:00</v>
      </c>
      <c r="N116" s="11"/>
      <c r="O116" s="11">
        <v>1</v>
      </c>
      <c r="P116">
        <v>245</v>
      </c>
      <c r="Q116" t="s">
        <v>532</v>
      </c>
      <c r="R116" t="s">
        <v>589</v>
      </c>
      <c r="S116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('187','2021-12-29 12:00','1','1716','','3','4','1','0','1','50','Zakir Badat','zakir@Ayphealthcare.co.uk','07754277636','160-164 Lancaster Road North, Access Via Lady Street, Preston, PR12PZ.','2','13','0','0','2021-12-08','0');</v>
      </c>
    </row>
    <row r="117" spans="1:19" x14ac:dyDescent="0.2">
      <c r="A117" s="7" t="s">
        <v>482</v>
      </c>
      <c r="B117" s="11">
        <v>169</v>
      </c>
      <c r="C117" s="13">
        <v>4</v>
      </c>
      <c r="D117" s="11">
        <v>3</v>
      </c>
      <c r="E117" s="3">
        <v>40</v>
      </c>
      <c r="F117" s="34">
        <v>1508</v>
      </c>
      <c r="G117" s="34">
        <v>0</v>
      </c>
      <c r="H117" s="11">
        <v>12</v>
      </c>
      <c r="I117" s="11">
        <v>4</v>
      </c>
      <c r="J117" s="11" t="s">
        <v>373</v>
      </c>
      <c r="K117" s="14" t="s">
        <v>213</v>
      </c>
      <c r="L117" s="6">
        <v>44563.375</v>
      </c>
      <c r="M117" s="6" t="str">
        <f t="shared" si="2"/>
        <v>2022-01-02 09:00</v>
      </c>
      <c r="N117" s="11" t="s">
        <v>214</v>
      </c>
      <c r="O117" s="11">
        <v>1</v>
      </c>
      <c r="P117">
        <v>209</v>
      </c>
      <c r="Q117" t="s">
        <v>533</v>
      </c>
      <c r="R117" t="s">
        <v>590</v>
      </c>
      <c r="S117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('169','2022-01-02 09:00','3','0','Faulty camera to be returned to hub.','3','4','1','0','1','40','Adrian Percival','adrian@logistics-support.co.uk','07899858531','Lowfield Stables Yard, Lyne Crossing Rd, Lyne, Chertsey, KT160AT.','4','12','0','0','2021-12-31','1508');</v>
      </c>
    </row>
    <row r="118" spans="1:19" x14ac:dyDescent="0.2">
      <c r="A118" s="7" t="s">
        <v>482</v>
      </c>
      <c r="B118" s="11">
        <v>169</v>
      </c>
      <c r="C118" s="13">
        <v>4</v>
      </c>
      <c r="D118" s="11">
        <v>3</v>
      </c>
      <c r="E118" s="3">
        <v>40</v>
      </c>
      <c r="F118" s="34">
        <v>1509</v>
      </c>
      <c r="G118" s="34">
        <v>0</v>
      </c>
      <c r="H118" s="11">
        <v>12</v>
      </c>
      <c r="I118" s="11">
        <v>4</v>
      </c>
      <c r="J118" s="11" t="s">
        <v>373</v>
      </c>
      <c r="K118" s="14" t="s">
        <v>213</v>
      </c>
      <c r="L118" s="6">
        <v>44563.375</v>
      </c>
      <c r="M118" s="6" t="str">
        <f t="shared" si="2"/>
        <v>2022-01-02 09:00</v>
      </c>
      <c r="N118" s="11" t="s">
        <v>214</v>
      </c>
      <c r="O118" s="11">
        <v>1</v>
      </c>
      <c r="P118">
        <v>209</v>
      </c>
      <c r="Q118" t="s">
        <v>533</v>
      </c>
      <c r="R118" t="s">
        <v>590</v>
      </c>
      <c r="S118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('169','2022-01-02 09:00','3','0','Faulty camera to be returned to hub.','3','4','1','0','1','40','Adrian Percival','adrian@logistics-support.co.uk','07899858531','Lowfield Stables Yard, Lyne Crossing Rd, Lyne, Chertsey, KT160AT.','4','12','0','0','2021-12-31','1509');</v>
      </c>
    </row>
    <row r="119" spans="1:19" x14ac:dyDescent="0.2">
      <c r="A119" s="7" t="s">
        <v>482</v>
      </c>
      <c r="B119" s="11">
        <v>169</v>
      </c>
      <c r="C119" s="13">
        <v>4</v>
      </c>
      <c r="D119" s="11">
        <v>3</v>
      </c>
      <c r="E119" s="3">
        <v>40</v>
      </c>
      <c r="F119" s="34">
        <v>1507</v>
      </c>
      <c r="G119" s="34">
        <v>0</v>
      </c>
      <c r="H119" s="11">
        <v>12</v>
      </c>
      <c r="I119" s="11">
        <v>4</v>
      </c>
      <c r="J119" s="11" t="s">
        <v>373</v>
      </c>
      <c r="K119" s="14" t="s">
        <v>213</v>
      </c>
      <c r="L119" s="6">
        <v>44563.375</v>
      </c>
      <c r="M119" s="6" t="str">
        <f t="shared" si="2"/>
        <v>2022-01-02 09:00</v>
      </c>
      <c r="N119" s="11"/>
      <c r="O119" s="11">
        <v>1</v>
      </c>
      <c r="P119">
        <v>209</v>
      </c>
      <c r="Q119" t="s">
        <v>533</v>
      </c>
      <c r="R119" t="s">
        <v>590</v>
      </c>
      <c r="S119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('169','2022-01-02 09:00','3','0','','3','4','1','0','1','40','Adrian Percival','adrian@logistics-support.co.uk','07899858531','Lowfield Stables Yard, Lyne Crossing Rd, Lyne, Chertsey, KT160AT.','4','12','0','0','2021-12-31','1507');</v>
      </c>
    </row>
    <row r="120" spans="1:19" x14ac:dyDescent="0.2">
      <c r="A120" s="7" t="s">
        <v>482</v>
      </c>
      <c r="B120" s="11">
        <v>169</v>
      </c>
      <c r="C120" s="13">
        <v>4</v>
      </c>
      <c r="D120" s="11">
        <v>3</v>
      </c>
      <c r="E120" s="3">
        <v>40</v>
      </c>
      <c r="F120" s="34">
        <v>1557</v>
      </c>
      <c r="G120" s="34">
        <v>0</v>
      </c>
      <c r="H120" s="11">
        <v>12</v>
      </c>
      <c r="I120" s="11">
        <v>4</v>
      </c>
      <c r="J120" s="11" t="s">
        <v>373</v>
      </c>
      <c r="K120" s="14" t="s">
        <v>213</v>
      </c>
      <c r="L120" s="6">
        <v>44563.375</v>
      </c>
      <c r="M120" s="6" t="str">
        <f t="shared" si="2"/>
        <v>2022-01-02 09:00</v>
      </c>
      <c r="N120" s="11"/>
      <c r="O120" s="11">
        <v>1</v>
      </c>
      <c r="P120">
        <v>209</v>
      </c>
      <c r="Q120" t="s">
        <v>533</v>
      </c>
      <c r="R120" t="s">
        <v>590</v>
      </c>
      <c r="S120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('169','2022-01-02 09:00','3','0','','3','4','1','0','1','40','Adrian Percival','adrian@logistics-support.co.uk','07899858531','Lowfield Stables Yard, Lyne Crossing Rd, Lyne, Chertsey, KT160AT.','4','12','0','0','2021-12-31','1557');</v>
      </c>
    </row>
    <row r="121" spans="1:19" x14ac:dyDescent="0.2">
      <c r="A121" s="7" t="s">
        <v>482</v>
      </c>
      <c r="B121" s="11">
        <v>169</v>
      </c>
      <c r="C121" s="13">
        <v>4</v>
      </c>
      <c r="D121" s="11">
        <v>3</v>
      </c>
      <c r="E121" s="3">
        <v>40</v>
      </c>
      <c r="F121" s="34">
        <v>1558</v>
      </c>
      <c r="G121" s="34">
        <v>0</v>
      </c>
      <c r="H121" s="11">
        <v>12</v>
      </c>
      <c r="I121" s="11">
        <v>4</v>
      </c>
      <c r="J121" s="11" t="s">
        <v>373</v>
      </c>
      <c r="K121" s="14" t="s">
        <v>213</v>
      </c>
      <c r="L121" s="6">
        <v>44563.375</v>
      </c>
      <c r="M121" s="6" t="str">
        <f t="shared" si="2"/>
        <v>2022-01-02 09:00</v>
      </c>
      <c r="N121" s="11"/>
      <c r="O121" s="11">
        <v>1</v>
      </c>
      <c r="P121">
        <v>209</v>
      </c>
      <c r="Q121" t="s">
        <v>533</v>
      </c>
      <c r="R121" t="s">
        <v>590</v>
      </c>
      <c r="S121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('169','2022-01-02 09:00','3','0','','3','4','1','0','1','40','Adrian Percival','adrian@logistics-support.co.uk','07899858531','Lowfield Stables Yard, Lyne Crossing Rd, Lyne, Chertsey, KT160AT.','4','12','0','0','2021-12-31','1558');</v>
      </c>
    </row>
    <row r="122" spans="1:19" x14ac:dyDescent="0.2">
      <c r="A122" s="7" t="s">
        <v>482</v>
      </c>
      <c r="B122" s="11">
        <v>169</v>
      </c>
      <c r="C122" s="13">
        <v>4</v>
      </c>
      <c r="D122" s="11">
        <v>3</v>
      </c>
      <c r="E122" s="3">
        <v>40</v>
      </c>
      <c r="F122" s="34">
        <v>1510</v>
      </c>
      <c r="G122" s="34">
        <v>0</v>
      </c>
      <c r="H122" s="11">
        <v>12</v>
      </c>
      <c r="I122" s="11">
        <v>4</v>
      </c>
      <c r="J122" s="11" t="s">
        <v>373</v>
      </c>
      <c r="K122" s="14" t="s">
        <v>213</v>
      </c>
      <c r="L122" s="6">
        <v>44563.375</v>
      </c>
      <c r="M122" s="6" t="str">
        <f t="shared" si="2"/>
        <v>2022-01-02 09:00</v>
      </c>
      <c r="N122" s="11"/>
      <c r="O122" s="11">
        <v>1</v>
      </c>
      <c r="P122">
        <v>209</v>
      </c>
      <c r="Q122" t="s">
        <v>533</v>
      </c>
      <c r="R122" t="s">
        <v>590</v>
      </c>
      <c r="S122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('169','2022-01-02 09:00','3','0','','3','4','1','0','1','40','Adrian Percival','adrian@logistics-support.co.uk','07899858531','Lowfield Stables Yard, Lyne Crossing Rd, Lyne, Chertsey, KT160AT.','4','12','0','0','2021-12-31','1510');</v>
      </c>
    </row>
    <row r="123" spans="1:19" x14ac:dyDescent="0.2">
      <c r="A123" s="7" t="s">
        <v>482</v>
      </c>
      <c r="B123" s="11">
        <v>169</v>
      </c>
      <c r="C123" s="13">
        <v>4</v>
      </c>
      <c r="D123" s="11">
        <v>3</v>
      </c>
      <c r="E123" s="3">
        <v>40</v>
      </c>
      <c r="F123" s="34">
        <v>1511</v>
      </c>
      <c r="G123" s="34">
        <v>0</v>
      </c>
      <c r="H123" s="11">
        <v>12</v>
      </c>
      <c r="I123" s="11">
        <v>4</v>
      </c>
      <c r="J123" s="11" t="s">
        <v>373</v>
      </c>
      <c r="K123" s="14" t="s">
        <v>213</v>
      </c>
      <c r="L123" s="6">
        <v>44563.375</v>
      </c>
      <c r="M123" s="6" t="str">
        <f t="shared" si="2"/>
        <v>2022-01-02 09:00</v>
      </c>
      <c r="N123" s="11"/>
      <c r="O123" s="11">
        <v>1</v>
      </c>
      <c r="P123">
        <v>209</v>
      </c>
      <c r="Q123" t="s">
        <v>533</v>
      </c>
      <c r="R123" t="s">
        <v>590</v>
      </c>
      <c r="S123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('169','2022-01-02 09:00','3','0','','3','4','1','0','1','40','Adrian Percival','adrian@logistics-support.co.uk','07899858531','Lowfield Stables Yard, Lyne Crossing Rd, Lyne, Chertsey, KT160AT.','4','12','0','0','2021-12-31','1511');</v>
      </c>
    </row>
    <row r="124" spans="1:19" x14ac:dyDescent="0.2">
      <c r="A124" s="7" t="s">
        <v>477</v>
      </c>
      <c r="B124" s="11">
        <v>39</v>
      </c>
      <c r="C124" s="13">
        <v>13</v>
      </c>
      <c r="D124" s="11">
        <v>1</v>
      </c>
      <c r="E124" s="3">
        <v>230</v>
      </c>
      <c r="F124" s="34">
        <v>0</v>
      </c>
      <c r="G124" s="11">
        <v>1289</v>
      </c>
      <c r="H124" s="11">
        <v>12</v>
      </c>
      <c r="I124" s="11">
        <v>2</v>
      </c>
      <c r="J124" s="11" t="s">
        <v>374</v>
      </c>
      <c r="K124" s="14" t="s">
        <v>223</v>
      </c>
      <c r="L124" s="6">
        <v>44566.291666666664</v>
      </c>
      <c r="M124" s="6" t="str">
        <f t="shared" si="2"/>
        <v>2022-01-05 07:00</v>
      </c>
      <c r="N124" s="11"/>
      <c r="O124" s="11">
        <v>1</v>
      </c>
      <c r="P124">
        <v>43</v>
      </c>
      <c r="Q124" t="s">
        <v>534</v>
      </c>
      <c r="R124" t="s">
        <v>591</v>
      </c>
      <c r="S124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('39','2022-01-05 07:00','1','1289','','3','13','1','0','1','230','Mary Mcdonnell','jrbaileyco@outlook.com','07903629443','9 Field road, Denham, UB94HJ.','2','12','0','0','2021-11-12','0');</v>
      </c>
    </row>
    <row r="125" spans="1:19" x14ac:dyDescent="0.2">
      <c r="A125" s="7" t="s">
        <v>477</v>
      </c>
      <c r="B125" s="11">
        <v>39</v>
      </c>
      <c r="C125" s="13">
        <v>13</v>
      </c>
      <c r="D125" s="11">
        <v>1</v>
      </c>
      <c r="E125" s="3">
        <v>230</v>
      </c>
      <c r="F125" s="34">
        <v>0</v>
      </c>
      <c r="G125" s="11">
        <v>1718</v>
      </c>
      <c r="H125" s="11">
        <v>12</v>
      </c>
      <c r="I125" s="11">
        <v>2</v>
      </c>
      <c r="J125" s="11" t="s">
        <v>374</v>
      </c>
      <c r="K125" s="14" t="s">
        <v>223</v>
      </c>
      <c r="L125" s="6">
        <v>44566.291666666664</v>
      </c>
      <c r="M125" s="6" t="str">
        <f t="shared" si="2"/>
        <v>2022-01-05 07:00</v>
      </c>
      <c r="N125" s="11"/>
      <c r="O125" s="11">
        <v>1</v>
      </c>
      <c r="P125">
        <v>43</v>
      </c>
      <c r="Q125" t="s">
        <v>534</v>
      </c>
      <c r="R125" t="s">
        <v>591</v>
      </c>
      <c r="S125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('39','2022-01-05 07:00','1','1718','','3','13','1','0','1','230','Mary Mcdonnell','jrbaileyco@outlook.com','07903629443','9 Field road, Denham, UB94HJ.','2','12','0','0','2021-11-12','0');</v>
      </c>
    </row>
    <row r="126" spans="1:19" x14ac:dyDescent="0.2">
      <c r="A126" s="7" t="s">
        <v>477</v>
      </c>
      <c r="B126" s="11">
        <v>39</v>
      </c>
      <c r="C126" s="32">
        <v>27</v>
      </c>
      <c r="D126" s="11">
        <v>1</v>
      </c>
      <c r="E126" s="3">
        <v>300</v>
      </c>
      <c r="F126" s="34">
        <v>0</v>
      </c>
      <c r="G126" s="11">
        <v>1288</v>
      </c>
      <c r="H126" s="11">
        <v>12</v>
      </c>
      <c r="I126" s="11">
        <v>2</v>
      </c>
      <c r="J126" s="11" t="s">
        <v>374</v>
      </c>
      <c r="K126" s="14" t="s">
        <v>223</v>
      </c>
      <c r="L126" s="6">
        <v>44566.291666666664</v>
      </c>
      <c r="M126" s="6" t="str">
        <f t="shared" si="2"/>
        <v>2022-01-05 07:00</v>
      </c>
      <c r="N126" s="11"/>
      <c r="O126" s="11">
        <v>1</v>
      </c>
      <c r="P126">
        <v>43</v>
      </c>
      <c r="Q126" t="s">
        <v>534</v>
      </c>
      <c r="R126" t="s">
        <v>591</v>
      </c>
      <c r="S126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('39','2022-01-05 07:00','1','1288','','3','27','1','0','1','300','Mary Mcdonnell','jrbaileyco@outlook.com','07903629443','9 Field road, Denham, UB94HJ.','2','12','0','0','2021-11-12','0');</v>
      </c>
    </row>
    <row r="127" spans="1:19" x14ac:dyDescent="0.2">
      <c r="A127" s="7" t="s">
        <v>477</v>
      </c>
      <c r="B127" s="11">
        <v>39</v>
      </c>
      <c r="C127" s="13">
        <v>13</v>
      </c>
      <c r="D127" s="11">
        <v>2</v>
      </c>
      <c r="E127" s="3">
        <v>50</v>
      </c>
      <c r="F127" s="34">
        <v>0</v>
      </c>
      <c r="G127" s="11">
        <v>270</v>
      </c>
      <c r="H127" s="11">
        <v>12</v>
      </c>
      <c r="I127" s="11">
        <v>2</v>
      </c>
      <c r="J127" s="11" t="s">
        <v>374</v>
      </c>
      <c r="K127" s="14" t="s">
        <v>223</v>
      </c>
      <c r="L127" s="6">
        <v>44566.291666666664</v>
      </c>
      <c r="M127" s="6" t="str">
        <f t="shared" si="2"/>
        <v>2022-01-05 07:00</v>
      </c>
      <c r="N127" s="11"/>
      <c r="O127" s="11">
        <v>1</v>
      </c>
      <c r="P127">
        <v>43</v>
      </c>
      <c r="Q127" t="s">
        <v>534</v>
      </c>
      <c r="R127" t="s">
        <v>591</v>
      </c>
      <c r="S127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('39','2022-01-05 07:00','2','270','','3','13','1','0','1','50','Mary Mcdonnell','jrbaileyco@outlook.com','07903629443','9 Field road, Denham, UB94HJ.','2','12','0','0','2021-11-12','0');</v>
      </c>
    </row>
    <row r="128" spans="1:19" x14ac:dyDescent="0.2">
      <c r="A128" s="7" t="s">
        <v>460</v>
      </c>
      <c r="B128" s="11">
        <v>130</v>
      </c>
      <c r="C128" s="31">
        <v>4</v>
      </c>
      <c r="D128" s="11">
        <v>1</v>
      </c>
      <c r="E128" s="3">
        <v>50</v>
      </c>
      <c r="F128" s="34">
        <v>0</v>
      </c>
      <c r="G128" s="11">
        <v>1720</v>
      </c>
      <c r="H128" s="11">
        <v>12</v>
      </c>
      <c r="I128" s="11">
        <v>2</v>
      </c>
      <c r="J128" s="11" t="s">
        <v>375</v>
      </c>
      <c r="K128" s="14" t="s">
        <v>229</v>
      </c>
      <c r="L128" s="6">
        <v>44568.416666666664</v>
      </c>
      <c r="M128" s="6" t="str">
        <f t="shared" si="2"/>
        <v>2022-01-07 10:00</v>
      </c>
      <c r="N128" s="11"/>
      <c r="O128" s="11">
        <v>1</v>
      </c>
      <c r="P128">
        <v>136</v>
      </c>
      <c r="Q128" t="s">
        <v>535</v>
      </c>
      <c r="R128" t="s">
        <v>592</v>
      </c>
      <c r="S128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('130','2022-01-07 10:00','1','1720','','3','4','1','0','1','50','Ronald Schreur','Ronald.Schreur@elmsurfacing.com','01795430233','Adelaide Dock, Symmonds Drive Sittingbourne Kent, ME103SY.','2','12','0','0','2021-11-15','0');</v>
      </c>
    </row>
    <row r="129" spans="1:19" x14ac:dyDescent="0.2">
      <c r="A129" s="7" t="s">
        <v>460</v>
      </c>
      <c r="B129" s="11">
        <v>130</v>
      </c>
      <c r="C129" s="31">
        <v>4</v>
      </c>
      <c r="D129" s="11">
        <v>1</v>
      </c>
      <c r="E129" s="3">
        <v>50</v>
      </c>
      <c r="F129" s="34">
        <v>0</v>
      </c>
      <c r="G129" s="11">
        <v>1719</v>
      </c>
      <c r="H129" s="11">
        <v>12</v>
      </c>
      <c r="I129" s="11">
        <v>2</v>
      </c>
      <c r="J129" s="11" t="s">
        <v>375</v>
      </c>
      <c r="K129" s="14" t="s">
        <v>229</v>
      </c>
      <c r="L129" s="6">
        <v>44568.416666666664</v>
      </c>
      <c r="M129" s="6" t="str">
        <f t="shared" si="2"/>
        <v>2022-01-07 10:00</v>
      </c>
      <c r="N129" s="11"/>
      <c r="O129" s="11">
        <v>1</v>
      </c>
      <c r="P129">
        <v>136</v>
      </c>
      <c r="Q129" t="s">
        <v>535</v>
      </c>
      <c r="R129" t="s">
        <v>592</v>
      </c>
      <c r="S129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('130','2022-01-07 10:00','1','1719','','3','4','1','0','1','50','Ronald Schreur','Ronald.Schreur@elmsurfacing.com','01795430233','Adelaide Dock, Symmonds Drive Sittingbourne Kent, ME103SY.','2','12','0','0','2021-11-15','0');</v>
      </c>
    </row>
    <row r="130" spans="1:19" x14ac:dyDescent="0.2">
      <c r="A130" s="22" t="s">
        <v>483</v>
      </c>
      <c r="B130" s="17">
        <v>163</v>
      </c>
      <c r="C130" s="13">
        <v>4</v>
      </c>
      <c r="D130" s="11">
        <v>3</v>
      </c>
      <c r="E130" s="3">
        <v>30</v>
      </c>
      <c r="F130" s="35">
        <v>1577</v>
      </c>
      <c r="G130" s="34">
        <v>0</v>
      </c>
      <c r="H130" s="11">
        <v>13</v>
      </c>
      <c r="I130" s="11">
        <v>4</v>
      </c>
      <c r="J130" s="11" t="s">
        <v>376</v>
      </c>
      <c r="K130" s="24" t="s">
        <v>232</v>
      </c>
      <c r="L130" s="8">
        <v>44568.541666666664</v>
      </c>
      <c r="M130" s="6" t="str">
        <f t="shared" si="2"/>
        <v>2022-01-07 13:00</v>
      </c>
      <c r="N130" s="17"/>
      <c r="O130" s="11">
        <v>1</v>
      </c>
      <c r="P130">
        <v>203</v>
      </c>
      <c r="Q130" t="s">
        <v>536</v>
      </c>
      <c r="R130" t="s">
        <v>593</v>
      </c>
      <c r="S130" t="str">
        <f t="shared" si="3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('163','2022-01-07 13:00','3','0','','3','4','1','0','1','30','Damian Swiderski','Damian@dsk.me.uk','07427668981','Formal Security Office, Lostock Ln, Bolton, BL64BL.','4','13','0','0','2022-01-04','1577');</v>
      </c>
    </row>
    <row r="131" spans="1:19" x14ac:dyDescent="0.2">
      <c r="A131" s="7" t="s">
        <v>483</v>
      </c>
      <c r="B131" s="11">
        <v>163</v>
      </c>
      <c r="C131" s="13">
        <v>4</v>
      </c>
      <c r="D131" s="11">
        <v>3</v>
      </c>
      <c r="E131" s="3">
        <v>30</v>
      </c>
      <c r="F131" s="34">
        <v>1578</v>
      </c>
      <c r="G131" s="34">
        <v>0</v>
      </c>
      <c r="H131" s="11">
        <v>13</v>
      </c>
      <c r="I131" s="11">
        <v>4</v>
      </c>
      <c r="J131" s="11" t="s">
        <v>376</v>
      </c>
      <c r="K131" s="14" t="s">
        <v>232</v>
      </c>
      <c r="L131" s="6">
        <v>44568.541666666664</v>
      </c>
      <c r="M131" s="6" t="str">
        <f t="shared" ref="M131:M194" si="4">TEXT(YEAR(L131) &amp;"-" &amp; MONTH(L131) &amp;"-" &amp; DAY(L131) &amp; " " &amp; HOUR(L131) &amp;":" &amp; MINUTE(L131),"YYYY-MM-DD HH:mm")</f>
        <v>2022-01-07 13:00</v>
      </c>
      <c r="N131" s="11"/>
      <c r="O131" s="11">
        <v>1</v>
      </c>
      <c r="P131">
        <v>203</v>
      </c>
      <c r="Q131" t="s">
        <v>536</v>
      </c>
      <c r="R131" t="s">
        <v>593</v>
      </c>
      <c r="S131" t="str">
        <f t="shared" ref="S131:S194" si="5">CONCATENATE($S$1, "VALUES ('",B131, "','",M131,"','",D131,"','", G131, "','",N131, "','", "3','",C131, "','","1','0','",O131,"','",E131,"','", Q131,"','", R131, "','", K131, "','", J131, "','",I131, "','",H131, "','0','0','",A131, "','" &amp;F131 &amp;"');")</f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('163','2022-01-07 13:00','3','0','','3','4','1','0','1','30','Damian Swiderski','Damian@dsk.me.uk','07427668981','Formal Security Office, Lostock Ln, Bolton, BL64BL.','4','13','0','0','2022-01-04','1578');</v>
      </c>
    </row>
    <row r="132" spans="1:19" x14ac:dyDescent="0.2">
      <c r="A132" s="22" t="s">
        <v>483</v>
      </c>
      <c r="B132" s="17">
        <v>163</v>
      </c>
      <c r="C132" s="23">
        <v>4</v>
      </c>
      <c r="D132" s="11">
        <v>1</v>
      </c>
      <c r="E132" s="4">
        <v>50</v>
      </c>
      <c r="F132" s="34">
        <v>0</v>
      </c>
      <c r="G132" s="17">
        <v>1721</v>
      </c>
      <c r="H132" s="11">
        <v>13</v>
      </c>
      <c r="I132" s="11">
        <v>4</v>
      </c>
      <c r="J132" s="17" t="s">
        <v>376</v>
      </c>
      <c r="K132" s="24" t="s">
        <v>232</v>
      </c>
      <c r="L132" s="8">
        <v>44568.541666666664</v>
      </c>
      <c r="M132" s="6" t="str">
        <f t="shared" si="4"/>
        <v>2022-01-07 13:00</v>
      </c>
      <c r="N132" s="17"/>
      <c r="O132" s="11">
        <v>1</v>
      </c>
      <c r="P132">
        <v>203</v>
      </c>
      <c r="Q132" t="s">
        <v>536</v>
      </c>
      <c r="R132" t="s">
        <v>593</v>
      </c>
      <c r="S132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('163','2022-01-07 13:00','1','1721','','3','4','1','0','1','50','Damian Swiderski','Damian@dsk.me.uk','07427668981','Formal Security Office, Lostock Ln, Bolton, BL64BL.','4','13','0','0','2022-01-04','0');</v>
      </c>
    </row>
    <row r="133" spans="1:19" x14ac:dyDescent="0.2">
      <c r="A133" s="7" t="s">
        <v>483</v>
      </c>
      <c r="B133" s="11">
        <v>163</v>
      </c>
      <c r="C133" s="13">
        <v>4</v>
      </c>
      <c r="D133" s="11">
        <v>1</v>
      </c>
      <c r="E133" s="3">
        <v>50</v>
      </c>
      <c r="F133" s="34">
        <v>0</v>
      </c>
      <c r="G133" s="11">
        <v>1722</v>
      </c>
      <c r="H133" s="11">
        <v>13</v>
      </c>
      <c r="I133" s="11">
        <v>4</v>
      </c>
      <c r="J133" s="17" t="s">
        <v>376</v>
      </c>
      <c r="K133" s="14" t="s">
        <v>232</v>
      </c>
      <c r="L133" s="6">
        <v>44568.541666666664</v>
      </c>
      <c r="M133" s="6" t="str">
        <f t="shared" si="4"/>
        <v>2022-01-07 13:00</v>
      </c>
      <c r="N133" s="11"/>
      <c r="O133" s="11">
        <v>1</v>
      </c>
      <c r="P133">
        <v>203</v>
      </c>
      <c r="Q133" t="s">
        <v>536</v>
      </c>
      <c r="R133" t="s">
        <v>593</v>
      </c>
      <c r="S133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('163','2022-01-07 13:00','1','1722','','3','4','1','0','1','50','Damian Swiderski','Damian@dsk.me.uk','07427668981','Formal Security Office, Lostock Ln, Bolton, BL64BL.','4','13','0','0','2022-01-04','0');</v>
      </c>
    </row>
    <row r="134" spans="1:19" x14ac:dyDescent="0.2">
      <c r="A134" s="7" t="s">
        <v>484</v>
      </c>
      <c r="B134" s="33">
        <v>174</v>
      </c>
      <c r="C134" s="31">
        <v>4</v>
      </c>
      <c r="D134" s="11">
        <v>1</v>
      </c>
      <c r="E134" s="3">
        <v>50</v>
      </c>
      <c r="F134" s="34">
        <v>0</v>
      </c>
      <c r="G134" s="11">
        <v>1723</v>
      </c>
      <c r="H134" s="11">
        <v>12</v>
      </c>
      <c r="I134" s="11">
        <v>2</v>
      </c>
      <c r="J134" s="11" t="s">
        <v>25</v>
      </c>
      <c r="K134" s="14" t="s">
        <v>26</v>
      </c>
      <c r="L134" s="6">
        <v>44568.75</v>
      </c>
      <c r="M134" s="6" t="str">
        <f t="shared" si="4"/>
        <v>2022-01-07 18:00</v>
      </c>
      <c r="N134" s="11"/>
      <c r="O134" s="11">
        <v>1</v>
      </c>
      <c r="P134">
        <v>214</v>
      </c>
      <c r="Q134" t="s">
        <v>501</v>
      </c>
      <c r="R134" t="s">
        <v>558</v>
      </c>
      <c r="S134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('174','2022-01-07 18:00','1','1723','','3','4','1','0','1','50','Dragos Visan','cdlogistic2020@gmail.com','07427125801','Crabtree manorway Tuffnells parcel express','2','12','0','0','2021-12-22','0');</v>
      </c>
    </row>
    <row r="135" spans="1:19" x14ac:dyDescent="0.2">
      <c r="A135" s="25" t="s">
        <v>485</v>
      </c>
      <c r="B135" s="26">
        <v>188</v>
      </c>
      <c r="C135" s="27">
        <v>4</v>
      </c>
      <c r="D135" s="11">
        <v>1</v>
      </c>
      <c r="E135" s="5">
        <v>50</v>
      </c>
      <c r="F135" s="34">
        <v>0</v>
      </c>
      <c r="G135" s="26">
        <v>1725</v>
      </c>
      <c r="H135" s="11">
        <v>12</v>
      </c>
      <c r="I135" s="11">
        <v>2</v>
      </c>
      <c r="J135" s="11" t="s">
        <v>377</v>
      </c>
      <c r="K135" s="28" t="s">
        <v>236</v>
      </c>
      <c r="L135" s="9">
        <v>44569.395833333336</v>
      </c>
      <c r="M135" s="6" t="str">
        <f t="shared" si="4"/>
        <v>2022-01-08 09:30</v>
      </c>
      <c r="N135" s="26"/>
      <c r="O135" s="11">
        <v>1</v>
      </c>
      <c r="P135">
        <v>248</v>
      </c>
      <c r="Q135" t="s">
        <v>537</v>
      </c>
      <c r="R135" t="s">
        <v>594</v>
      </c>
      <c r="S135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('188','2022-01-08 09:30','1','1725','','3','4','1','0','1','50','John Nnorom','jostrategic@gmail.com','07557868255','DPD local 8 freebournes Road, CM83UN.','2','12','0','0','2021-12-23','0');</v>
      </c>
    </row>
    <row r="136" spans="1:19" x14ac:dyDescent="0.2">
      <c r="A136" s="7" t="s">
        <v>485</v>
      </c>
      <c r="B136" s="11">
        <v>188</v>
      </c>
      <c r="C136" s="13">
        <v>4</v>
      </c>
      <c r="D136" s="11">
        <v>1</v>
      </c>
      <c r="E136" s="3">
        <v>50</v>
      </c>
      <c r="F136" s="34">
        <v>0</v>
      </c>
      <c r="G136" s="11">
        <v>1724</v>
      </c>
      <c r="H136" s="11">
        <v>12</v>
      </c>
      <c r="I136" s="11">
        <v>2</v>
      </c>
      <c r="J136" s="11" t="s">
        <v>377</v>
      </c>
      <c r="K136" s="14" t="s">
        <v>236</v>
      </c>
      <c r="L136" s="6">
        <v>44569.395833333336</v>
      </c>
      <c r="M136" s="6" t="str">
        <f t="shared" si="4"/>
        <v>2022-01-08 09:30</v>
      </c>
      <c r="N136" s="11"/>
      <c r="O136" s="11">
        <v>1</v>
      </c>
      <c r="P136">
        <v>248</v>
      </c>
      <c r="Q136" t="s">
        <v>537</v>
      </c>
      <c r="R136" t="s">
        <v>594</v>
      </c>
      <c r="S136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('188','2022-01-08 09:30','1','1724','','3','4','1','0','1','50','John Nnorom','jostrategic@gmail.com','07557868255','DPD local 8 freebournes Road, CM83UN.','2','12','0','0','2021-12-23','0');</v>
      </c>
    </row>
    <row r="137" spans="1:19" x14ac:dyDescent="0.2">
      <c r="A137" s="7" t="s">
        <v>482</v>
      </c>
      <c r="B137" s="11">
        <v>189</v>
      </c>
      <c r="C137" s="31">
        <v>4</v>
      </c>
      <c r="D137" s="11">
        <v>1</v>
      </c>
      <c r="E137" s="3">
        <v>50</v>
      </c>
      <c r="F137" s="34">
        <v>0</v>
      </c>
      <c r="G137" s="11">
        <v>1726</v>
      </c>
      <c r="H137" s="11">
        <v>12</v>
      </c>
      <c r="I137" s="11">
        <v>2</v>
      </c>
      <c r="J137" s="11" t="s">
        <v>378</v>
      </c>
      <c r="K137" s="14" t="s">
        <v>240</v>
      </c>
      <c r="L137" s="6">
        <v>44569.541666666664</v>
      </c>
      <c r="M137" s="6" t="str">
        <f t="shared" si="4"/>
        <v>2022-01-08 13:00</v>
      </c>
      <c r="N137" s="11"/>
      <c r="O137" s="11">
        <v>1</v>
      </c>
      <c r="P137">
        <v>249</v>
      </c>
      <c r="Q137" t="s">
        <v>538</v>
      </c>
      <c r="R137" t="s">
        <v>595</v>
      </c>
      <c r="S137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('189','2022-01-08 13:00','1','1726','','3','4','1','0','1','50','Harman Brar','accounts@stackdrive.co.uk','07487612345','Euro Storage, Station Rd, Langley, SL36ED.','2','12','0','0','2021-12-31','0');</v>
      </c>
    </row>
    <row r="138" spans="1:19" x14ac:dyDescent="0.2">
      <c r="A138" s="7" t="s">
        <v>482</v>
      </c>
      <c r="B138" s="11">
        <v>189</v>
      </c>
      <c r="C138" s="31">
        <v>4</v>
      </c>
      <c r="D138" s="11">
        <v>1</v>
      </c>
      <c r="E138" s="3">
        <v>50</v>
      </c>
      <c r="F138" s="34">
        <v>0</v>
      </c>
      <c r="G138" s="11">
        <v>1727</v>
      </c>
      <c r="H138" s="11">
        <v>12</v>
      </c>
      <c r="I138" s="11">
        <v>2</v>
      </c>
      <c r="J138" s="11" t="s">
        <v>378</v>
      </c>
      <c r="K138" s="14" t="s">
        <v>240</v>
      </c>
      <c r="L138" s="6">
        <v>44569.541666666664</v>
      </c>
      <c r="M138" s="6" t="str">
        <f t="shared" si="4"/>
        <v>2022-01-08 13:00</v>
      </c>
      <c r="N138" s="11"/>
      <c r="O138" s="11">
        <v>1</v>
      </c>
      <c r="P138">
        <v>249</v>
      </c>
      <c r="Q138" t="s">
        <v>538</v>
      </c>
      <c r="R138" t="s">
        <v>595</v>
      </c>
      <c r="S138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('189','2022-01-08 13:00','1','1727','','3','4','1','0','1','50','Harman Brar','accounts@stackdrive.co.uk','07487612345','Euro Storage, Station Rd, Langley, SL36ED.','2','12','0','0','2021-12-31','0');</v>
      </c>
    </row>
    <row r="139" spans="1:19" ht="32" x14ac:dyDescent="0.2">
      <c r="A139" s="7" t="s">
        <v>477</v>
      </c>
      <c r="B139" s="11">
        <v>130</v>
      </c>
      <c r="C139" s="13">
        <v>4</v>
      </c>
      <c r="D139" s="11">
        <v>2</v>
      </c>
      <c r="E139" s="3">
        <v>50</v>
      </c>
      <c r="F139" s="34">
        <v>0</v>
      </c>
      <c r="G139" s="11">
        <v>1418</v>
      </c>
      <c r="H139" s="11">
        <v>12</v>
      </c>
      <c r="I139" s="11">
        <v>2</v>
      </c>
      <c r="J139" s="19" t="s">
        <v>379</v>
      </c>
      <c r="K139" s="14" t="s">
        <v>243</v>
      </c>
      <c r="L139" s="6">
        <v>44571.5</v>
      </c>
      <c r="M139" s="6" t="str">
        <f t="shared" si="4"/>
        <v>2022-01-10 12:00</v>
      </c>
      <c r="N139" s="11"/>
      <c r="O139" s="11">
        <v>1</v>
      </c>
      <c r="P139">
        <v>136</v>
      </c>
      <c r="Q139" t="s">
        <v>535</v>
      </c>
      <c r="R139" t="s">
        <v>592</v>
      </c>
      <c r="S139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('130','2022-01-10 12:00','2','1418','','3','4','1','0','1','50','Ronald Schreur','Ronald.Schreur@elmsurfacing.com','07494240359','18 Ivy Street,Rainham, ME88BE.','2','12','0','0','2021-11-12','0');</v>
      </c>
    </row>
    <row r="140" spans="1:19" x14ac:dyDescent="0.2">
      <c r="A140" s="7" t="s">
        <v>462</v>
      </c>
      <c r="B140" s="11">
        <v>190</v>
      </c>
      <c r="C140" s="31">
        <v>4</v>
      </c>
      <c r="D140" s="11">
        <v>1</v>
      </c>
      <c r="E140" s="3">
        <v>50</v>
      </c>
      <c r="F140" s="34">
        <v>0</v>
      </c>
      <c r="G140" s="11">
        <v>1728</v>
      </c>
      <c r="H140" s="11">
        <v>13</v>
      </c>
      <c r="I140" s="11">
        <v>2</v>
      </c>
      <c r="J140" s="11" t="s">
        <v>380</v>
      </c>
      <c r="K140" s="14" t="s">
        <v>246</v>
      </c>
      <c r="L140" s="6">
        <v>44571.541666666664</v>
      </c>
      <c r="M140" s="6" t="str">
        <f t="shared" si="4"/>
        <v>2022-01-10 13:00</v>
      </c>
      <c r="N140" s="11"/>
      <c r="O140" s="11">
        <v>1</v>
      </c>
      <c r="P140">
        <v>250</v>
      </c>
      <c r="Q140" t="s">
        <v>539</v>
      </c>
      <c r="R140" t="s">
        <v>596</v>
      </c>
      <c r="S140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('190','2022-01-10 13:00','1','1728','','3','4','1','0','1','50','Agherenwi Neba','info@tamangwashipping.com','07719097591','Moulton Park Est, NN36AQ.','2','13','0','0','2021-11-19','0');</v>
      </c>
    </row>
    <row r="141" spans="1:19" x14ac:dyDescent="0.2">
      <c r="A141" s="7" t="s">
        <v>462</v>
      </c>
      <c r="B141" s="11">
        <v>190</v>
      </c>
      <c r="C141" s="31">
        <v>4</v>
      </c>
      <c r="D141" s="11">
        <v>1</v>
      </c>
      <c r="E141" s="3">
        <v>50</v>
      </c>
      <c r="F141" s="34">
        <v>0</v>
      </c>
      <c r="G141" s="11">
        <v>1731</v>
      </c>
      <c r="H141" s="11">
        <v>13</v>
      </c>
      <c r="I141" s="11">
        <v>2</v>
      </c>
      <c r="J141" s="11" t="s">
        <v>380</v>
      </c>
      <c r="K141" s="14" t="s">
        <v>246</v>
      </c>
      <c r="L141" s="6">
        <v>44571.541666666664</v>
      </c>
      <c r="M141" s="6" t="str">
        <f t="shared" si="4"/>
        <v>2022-01-10 13:00</v>
      </c>
      <c r="N141" s="11"/>
      <c r="O141" s="11">
        <v>1</v>
      </c>
      <c r="P141">
        <v>250</v>
      </c>
      <c r="Q141" t="s">
        <v>539</v>
      </c>
      <c r="R141" t="s">
        <v>596</v>
      </c>
      <c r="S141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('190','2022-01-10 13:00','1','1731','','3','4','1','0','1','50','Agherenwi Neba','info@tamangwashipping.com','07719097591','Moulton Park Est, NN36AQ.','2','13','0','0','2021-11-19','0');</v>
      </c>
    </row>
    <row r="142" spans="1:19" x14ac:dyDescent="0.2">
      <c r="A142" s="7" t="s">
        <v>462</v>
      </c>
      <c r="B142" s="11">
        <v>190</v>
      </c>
      <c r="C142" s="31">
        <v>4</v>
      </c>
      <c r="D142" s="11">
        <v>1</v>
      </c>
      <c r="E142" s="3">
        <v>50</v>
      </c>
      <c r="F142" s="34">
        <v>0</v>
      </c>
      <c r="G142" s="11">
        <v>1730</v>
      </c>
      <c r="H142" s="11">
        <v>13</v>
      </c>
      <c r="I142" s="11">
        <v>2</v>
      </c>
      <c r="J142" s="11" t="s">
        <v>380</v>
      </c>
      <c r="K142" s="14" t="s">
        <v>246</v>
      </c>
      <c r="L142" s="6">
        <v>44571.541666666664</v>
      </c>
      <c r="M142" s="6" t="str">
        <f t="shared" si="4"/>
        <v>2022-01-10 13:00</v>
      </c>
      <c r="N142" s="11"/>
      <c r="O142" s="11">
        <v>1</v>
      </c>
      <c r="P142">
        <v>250</v>
      </c>
      <c r="Q142" t="s">
        <v>539</v>
      </c>
      <c r="R142" t="s">
        <v>596</v>
      </c>
      <c r="S142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('190','2022-01-10 13:00','1','1730','','3','4','1','0','1','50','Agherenwi Neba','info@tamangwashipping.com','07719097591','Moulton Park Est, NN36AQ.','2','13','0','0','2021-11-19','0');</v>
      </c>
    </row>
    <row r="143" spans="1:19" x14ac:dyDescent="0.2">
      <c r="A143" s="7" t="s">
        <v>462</v>
      </c>
      <c r="B143" s="11">
        <v>190</v>
      </c>
      <c r="C143" s="31">
        <v>4</v>
      </c>
      <c r="D143" s="11">
        <v>1</v>
      </c>
      <c r="E143" s="3">
        <v>50</v>
      </c>
      <c r="F143" s="34">
        <v>0</v>
      </c>
      <c r="G143" s="11">
        <v>1729</v>
      </c>
      <c r="H143" s="11">
        <v>13</v>
      </c>
      <c r="I143" s="11">
        <v>2</v>
      </c>
      <c r="J143" s="11" t="s">
        <v>380</v>
      </c>
      <c r="K143" s="14" t="s">
        <v>246</v>
      </c>
      <c r="L143" s="6">
        <v>44571.541666666664</v>
      </c>
      <c r="M143" s="6" t="str">
        <f t="shared" si="4"/>
        <v>2022-01-10 13:00</v>
      </c>
      <c r="N143" s="11"/>
      <c r="O143" s="11">
        <v>1</v>
      </c>
      <c r="P143">
        <v>250</v>
      </c>
      <c r="Q143" t="s">
        <v>539</v>
      </c>
      <c r="R143" t="s">
        <v>596</v>
      </c>
      <c r="S143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('190','2022-01-10 13:00','1','1729','','3','4','1','0','1','50','Agherenwi Neba','info@tamangwashipping.com','07719097591','Moulton Park Est, NN36AQ.','2','13','0','0','2021-11-19','0');</v>
      </c>
    </row>
    <row r="144" spans="1:19" x14ac:dyDescent="0.2">
      <c r="A144" s="7" t="s">
        <v>474</v>
      </c>
      <c r="B144" s="11">
        <v>191</v>
      </c>
      <c r="C144" s="13">
        <v>4</v>
      </c>
      <c r="D144" s="11">
        <v>1</v>
      </c>
      <c r="E144" s="3">
        <v>50</v>
      </c>
      <c r="F144" s="34">
        <v>0</v>
      </c>
      <c r="G144" s="11">
        <v>1736</v>
      </c>
      <c r="H144" s="11">
        <v>12</v>
      </c>
      <c r="I144" s="11">
        <v>2</v>
      </c>
      <c r="J144" s="11" t="s">
        <v>381</v>
      </c>
      <c r="K144" s="14" t="s">
        <v>252</v>
      </c>
      <c r="L144" s="6">
        <v>44573.25</v>
      </c>
      <c r="M144" s="6" t="str">
        <f t="shared" si="4"/>
        <v>2022-01-12 06:00</v>
      </c>
      <c r="N144" s="11"/>
      <c r="O144" s="11">
        <v>1</v>
      </c>
      <c r="P144">
        <v>251</v>
      </c>
      <c r="Q144" t="s">
        <v>540</v>
      </c>
      <c r="R144" t="s">
        <v>597</v>
      </c>
      <c r="S144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('191','2022-01-12 06:00','1','1736','','3','4','1','0','1','50','Matthew Westley','info@agneslogistics.co.uk','07793013820','DHL Express Colchester, CO49QJ.','2','12','0','0','2021-12-08','0');</v>
      </c>
    </row>
    <row r="145" spans="1:19" x14ac:dyDescent="0.2">
      <c r="A145" s="7" t="s">
        <v>474</v>
      </c>
      <c r="B145" s="11">
        <v>191</v>
      </c>
      <c r="C145" s="13">
        <v>4</v>
      </c>
      <c r="D145" s="11">
        <v>1</v>
      </c>
      <c r="E145" s="3">
        <v>50</v>
      </c>
      <c r="F145" s="34">
        <v>0</v>
      </c>
      <c r="G145" s="11">
        <v>1733</v>
      </c>
      <c r="H145" s="11">
        <v>12</v>
      </c>
      <c r="I145" s="11">
        <v>2</v>
      </c>
      <c r="J145" s="11" t="s">
        <v>381</v>
      </c>
      <c r="K145" s="14" t="s">
        <v>252</v>
      </c>
      <c r="L145" s="6">
        <v>44573.25</v>
      </c>
      <c r="M145" s="6" t="str">
        <f t="shared" si="4"/>
        <v>2022-01-12 06:00</v>
      </c>
      <c r="N145" s="11"/>
      <c r="O145" s="11">
        <v>1</v>
      </c>
      <c r="P145">
        <v>251</v>
      </c>
      <c r="Q145" t="s">
        <v>540</v>
      </c>
      <c r="R145" t="s">
        <v>597</v>
      </c>
      <c r="S145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('191','2022-01-12 06:00','1','1733','','3','4','1','0','1','50','Matthew Westley','info@agneslogistics.co.uk','07793013820','DHL Express Colchester, CO49QJ.','2','12','0','0','2021-12-08','0');</v>
      </c>
    </row>
    <row r="146" spans="1:19" x14ac:dyDescent="0.2">
      <c r="A146" s="7" t="s">
        <v>474</v>
      </c>
      <c r="B146" s="11">
        <v>191</v>
      </c>
      <c r="C146" s="13">
        <v>4</v>
      </c>
      <c r="D146" s="11">
        <v>1</v>
      </c>
      <c r="E146" s="3">
        <v>50</v>
      </c>
      <c r="F146" s="34">
        <v>0</v>
      </c>
      <c r="G146" s="11">
        <v>1732</v>
      </c>
      <c r="H146" s="11">
        <v>12</v>
      </c>
      <c r="I146" s="11">
        <v>2</v>
      </c>
      <c r="J146" s="11" t="s">
        <v>381</v>
      </c>
      <c r="K146" s="14" t="s">
        <v>252</v>
      </c>
      <c r="L146" s="6">
        <v>44573.25</v>
      </c>
      <c r="M146" s="6" t="str">
        <f t="shared" si="4"/>
        <v>2022-01-12 06:00</v>
      </c>
      <c r="N146" s="11"/>
      <c r="O146" s="11">
        <v>1</v>
      </c>
      <c r="P146">
        <v>251</v>
      </c>
      <c r="Q146" t="s">
        <v>540</v>
      </c>
      <c r="R146" t="s">
        <v>597</v>
      </c>
      <c r="S146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('191','2022-01-12 06:00','1','1732','','3','4','1','0','1','50','Matthew Westley','info@agneslogistics.co.uk','07793013820','DHL Express Colchester, CO49QJ.','2','12','0','0','2021-12-08','0');</v>
      </c>
    </row>
    <row r="147" spans="1:19" x14ac:dyDescent="0.2">
      <c r="A147" s="7" t="s">
        <v>474</v>
      </c>
      <c r="B147" s="11">
        <v>191</v>
      </c>
      <c r="C147" s="13">
        <v>4</v>
      </c>
      <c r="D147" s="11">
        <v>1</v>
      </c>
      <c r="E147" s="3">
        <v>50</v>
      </c>
      <c r="F147" s="34">
        <v>0</v>
      </c>
      <c r="G147" s="11">
        <v>1734</v>
      </c>
      <c r="H147" s="11">
        <v>12</v>
      </c>
      <c r="I147" s="11">
        <v>2</v>
      </c>
      <c r="J147" s="11" t="s">
        <v>381</v>
      </c>
      <c r="K147" s="14" t="s">
        <v>252</v>
      </c>
      <c r="L147" s="6">
        <v>44573.25</v>
      </c>
      <c r="M147" s="6" t="str">
        <f t="shared" si="4"/>
        <v>2022-01-12 06:00</v>
      </c>
      <c r="N147" s="11"/>
      <c r="O147" s="11">
        <v>1</v>
      </c>
      <c r="P147">
        <v>251</v>
      </c>
      <c r="Q147" t="s">
        <v>540</v>
      </c>
      <c r="R147" t="s">
        <v>597</v>
      </c>
      <c r="S147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('191','2022-01-12 06:00','1','1734','','3','4','1','0','1','50','Matthew Westley','info@agneslogistics.co.uk','07793013820','DHL Express Colchester, CO49QJ.','2','12','0','0','2021-12-08','0');</v>
      </c>
    </row>
    <row r="148" spans="1:19" x14ac:dyDescent="0.2">
      <c r="A148" s="7" t="s">
        <v>474</v>
      </c>
      <c r="B148" s="11">
        <v>191</v>
      </c>
      <c r="C148" s="13">
        <v>4</v>
      </c>
      <c r="D148" s="11">
        <v>1</v>
      </c>
      <c r="E148" s="3">
        <v>50</v>
      </c>
      <c r="F148" s="34">
        <v>0</v>
      </c>
      <c r="G148" s="11">
        <v>1735</v>
      </c>
      <c r="H148" s="11">
        <v>12</v>
      </c>
      <c r="I148" s="11">
        <v>2</v>
      </c>
      <c r="J148" s="11" t="s">
        <v>381</v>
      </c>
      <c r="K148" s="14" t="s">
        <v>252</v>
      </c>
      <c r="L148" s="6">
        <v>44573.25</v>
      </c>
      <c r="M148" s="6" t="str">
        <f t="shared" si="4"/>
        <v>2022-01-12 06:00</v>
      </c>
      <c r="N148" s="11"/>
      <c r="O148" s="11">
        <v>1</v>
      </c>
      <c r="P148">
        <v>251</v>
      </c>
      <c r="Q148" t="s">
        <v>540</v>
      </c>
      <c r="R148" t="s">
        <v>597</v>
      </c>
      <c r="S148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('191','2022-01-12 06:00','1','1735','','3','4','1','0','1','50','Matthew Westley','info@agneslogistics.co.uk','07793013820','DHL Express Colchester, CO49QJ.','2','12','0','0','2021-12-08','0');</v>
      </c>
    </row>
    <row r="149" spans="1:19" x14ac:dyDescent="0.2">
      <c r="A149" s="7" t="s">
        <v>486</v>
      </c>
      <c r="B149" s="11">
        <v>175</v>
      </c>
      <c r="C149" s="13">
        <v>4</v>
      </c>
      <c r="D149" s="11">
        <v>2</v>
      </c>
      <c r="E149" s="3">
        <v>50</v>
      </c>
      <c r="F149" s="34">
        <v>0</v>
      </c>
      <c r="G149" s="11">
        <v>1582</v>
      </c>
      <c r="H149" s="11">
        <v>13</v>
      </c>
      <c r="I149" s="11">
        <v>2</v>
      </c>
      <c r="J149" s="11" t="s">
        <v>382</v>
      </c>
      <c r="K149" s="14" t="s">
        <v>259</v>
      </c>
      <c r="L149" s="6">
        <v>44573.583333333336</v>
      </c>
      <c r="M149" s="6" t="str">
        <f t="shared" si="4"/>
        <v>2022-01-12 14:00</v>
      </c>
      <c r="N149" s="11" t="s">
        <v>438</v>
      </c>
      <c r="O149" s="11">
        <v>1</v>
      </c>
      <c r="P149">
        <v>217</v>
      </c>
      <c r="Q149" t="s">
        <v>541</v>
      </c>
      <c r="R149" t="s">
        <v>598</v>
      </c>
      <c r="S149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('175','2022-01-12 14:00','2','1582','SD card swap required.','3','4','1','0','1','50','Michelle Beaumont','accounts@ecoblockcrete.com','07776729042','Ecoblockcrete, Pontefract Ln, Leeds, LS90RA.','2','13','0','0','2022-01-05','0');</v>
      </c>
    </row>
    <row r="150" spans="1:19" x14ac:dyDescent="0.2">
      <c r="A150" s="7" t="s">
        <v>487</v>
      </c>
      <c r="B150" s="11">
        <v>93</v>
      </c>
      <c r="C150" s="13">
        <v>15</v>
      </c>
      <c r="D150" s="11">
        <v>2</v>
      </c>
      <c r="E150" s="3">
        <v>55</v>
      </c>
      <c r="F150" s="34">
        <v>0</v>
      </c>
      <c r="G150" s="15">
        <v>1023</v>
      </c>
      <c r="H150" s="11">
        <v>13</v>
      </c>
      <c r="I150" s="11">
        <v>2</v>
      </c>
      <c r="J150" s="11" t="s">
        <v>383</v>
      </c>
      <c r="K150" s="14" t="s">
        <v>261</v>
      </c>
      <c r="L150" s="6">
        <v>44573.666666666664</v>
      </c>
      <c r="M150" s="6" t="str">
        <f t="shared" si="4"/>
        <v>2022-01-12 16:00</v>
      </c>
      <c r="N150" s="11"/>
      <c r="O150" s="11">
        <v>1</v>
      </c>
      <c r="P150">
        <v>70</v>
      </c>
      <c r="Q150" t="s">
        <v>526</v>
      </c>
      <c r="R150" t="s">
        <v>583</v>
      </c>
      <c r="S150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('93','2022-01-12 16:00','2','1023','','3','15','1','0','1','55','Alison Sparrow','AlisonSparrow@voyagecare.com','01964543332','Voyage Care, The Granary, Church Ln, Brandesburton, YO258QZ.','2','13','0','0','2021-12-10','0');</v>
      </c>
    </row>
    <row r="151" spans="1:19" x14ac:dyDescent="0.2">
      <c r="A151" s="7" t="s">
        <v>486</v>
      </c>
      <c r="B151" s="11">
        <v>162</v>
      </c>
      <c r="C151" s="13">
        <v>4</v>
      </c>
      <c r="D151" s="11">
        <v>2</v>
      </c>
      <c r="E151" s="3">
        <v>50</v>
      </c>
      <c r="F151" s="34">
        <v>0</v>
      </c>
      <c r="G151" s="11">
        <v>1444</v>
      </c>
      <c r="H151" s="11">
        <v>13</v>
      </c>
      <c r="I151" s="11">
        <v>2</v>
      </c>
      <c r="J151" s="11" t="s">
        <v>384</v>
      </c>
      <c r="K151" s="14" t="s">
        <v>264</v>
      </c>
      <c r="L151" s="6">
        <v>44573.791666666664</v>
      </c>
      <c r="M151" s="6" t="str">
        <f t="shared" si="4"/>
        <v>2022-01-12 19:00</v>
      </c>
      <c r="N151" s="11" t="s">
        <v>438</v>
      </c>
      <c r="O151" s="11">
        <v>1</v>
      </c>
      <c r="P151">
        <v>202</v>
      </c>
      <c r="Q151" t="s">
        <v>542</v>
      </c>
      <c r="R151" t="s">
        <v>599</v>
      </c>
      <c r="S151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('162','2022-01-12 19:00','2','1444','SD card swap required.','3','4','1','0','1','50','Phill Brennan','brennanhaulage@aol.com','07973483798','76 Goodman St, Leeds, LS101NY.','2','13','0','0','2022-01-05','0');</v>
      </c>
    </row>
    <row r="152" spans="1:19" ht="16" x14ac:dyDescent="0.2">
      <c r="A152" s="7" t="s">
        <v>477</v>
      </c>
      <c r="B152" s="11">
        <v>130</v>
      </c>
      <c r="C152" s="13">
        <v>4</v>
      </c>
      <c r="D152" s="11">
        <v>1</v>
      </c>
      <c r="E152" s="3">
        <v>50</v>
      </c>
      <c r="F152" s="34">
        <v>0</v>
      </c>
      <c r="G152" s="11">
        <v>1737</v>
      </c>
      <c r="H152" s="11">
        <v>12</v>
      </c>
      <c r="I152" s="11">
        <v>2</v>
      </c>
      <c r="J152" s="19" t="s">
        <v>266</v>
      </c>
      <c r="K152" s="14"/>
      <c r="L152" s="6">
        <v>44574.25</v>
      </c>
      <c r="M152" s="6" t="str">
        <f t="shared" si="4"/>
        <v>2022-01-13 06:00</v>
      </c>
      <c r="N152" s="11"/>
      <c r="O152" s="11">
        <v>1</v>
      </c>
      <c r="P152">
        <v>136</v>
      </c>
      <c r="Q152" t="s">
        <v>535</v>
      </c>
      <c r="R152" t="s">
        <v>592</v>
      </c>
      <c r="S152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('130','2022-01-13 06:00','1','1737','','3','4','1','0','1','50','Ronald Schreur','Ronald.Schreur@elmsurfacing.com','','Tunnel Avenue','2','12','0','0','2021-11-12','0');</v>
      </c>
    </row>
    <row r="153" spans="1:19" ht="32" x14ac:dyDescent="0.2">
      <c r="A153" s="7" t="s">
        <v>477</v>
      </c>
      <c r="B153" s="11">
        <v>130</v>
      </c>
      <c r="C153" s="13">
        <v>4</v>
      </c>
      <c r="D153" s="11">
        <v>2</v>
      </c>
      <c r="E153" s="3">
        <v>50</v>
      </c>
      <c r="F153" s="34">
        <v>0</v>
      </c>
      <c r="G153" s="11">
        <v>901</v>
      </c>
      <c r="H153" s="11">
        <v>12</v>
      </c>
      <c r="I153" s="11">
        <v>2</v>
      </c>
      <c r="J153" s="19" t="s">
        <v>379</v>
      </c>
      <c r="K153" s="14" t="s">
        <v>268</v>
      </c>
      <c r="L153" s="6">
        <v>44574.333333333336</v>
      </c>
      <c r="M153" s="6" t="str">
        <f t="shared" si="4"/>
        <v>2022-01-13 08:00</v>
      </c>
      <c r="N153" s="11"/>
      <c r="O153" s="11">
        <v>1</v>
      </c>
      <c r="P153">
        <v>136</v>
      </c>
      <c r="Q153" t="s">
        <v>535</v>
      </c>
      <c r="R153" t="s">
        <v>592</v>
      </c>
      <c r="S153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('130','2022-01-13 08:00','2','901','','3','4','1','0','1','50','Ronald Schreur','Ronald.Schreur@elmsurfacing.com','07590818530','18 Ivy Street,Rainham, ME88BE.','2','12','0','0','2021-11-12','0');</v>
      </c>
    </row>
    <row r="154" spans="1:19" ht="32" x14ac:dyDescent="0.2">
      <c r="A154" s="7" t="s">
        <v>477</v>
      </c>
      <c r="B154" s="11">
        <v>130</v>
      </c>
      <c r="C154" s="13">
        <v>4</v>
      </c>
      <c r="D154" s="11">
        <v>1</v>
      </c>
      <c r="E154" s="3">
        <v>50</v>
      </c>
      <c r="F154" s="34">
        <v>0</v>
      </c>
      <c r="G154" s="11">
        <v>1738</v>
      </c>
      <c r="H154" s="11">
        <v>12</v>
      </c>
      <c r="I154" s="11">
        <v>2</v>
      </c>
      <c r="J154" s="19" t="s">
        <v>379</v>
      </c>
      <c r="K154" s="14" t="s">
        <v>229</v>
      </c>
      <c r="L154" s="6">
        <v>44574.333333333336</v>
      </c>
      <c r="M154" s="6" t="str">
        <f t="shared" si="4"/>
        <v>2022-01-13 08:00</v>
      </c>
      <c r="N154" s="11" t="s">
        <v>270</v>
      </c>
      <c r="O154" s="11">
        <v>1</v>
      </c>
      <c r="P154">
        <v>136</v>
      </c>
      <c r="Q154" t="s">
        <v>535</v>
      </c>
      <c r="R154" t="s">
        <v>592</v>
      </c>
      <c r="S154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('130','2022-01-13 08:00','1','1738','Cancelled - 07/01/22.','3','4','1','0','1','50','Ronald Schreur','Ronald.Schreur@elmsurfacing.com','01795430233','18 Ivy Street,Rainham, ME88BE.','2','12','0','0','2021-11-12','0');</v>
      </c>
    </row>
    <row r="155" spans="1:19" x14ac:dyDescent="0.2">
      <c r="A155" s="7" t="s">
        <v>488</v>
      </c>
      <c r="B155" s="11">
        <v>59</v>
      </c>
      <c r="C155" s="13">
        <v>5</v>
      </c>
      <c r="D155" s="11">
        <v>3</v>
      </c>
      <c r="E155" s="3">
        <v>30</v>
      </c>
      <c r="F155" s="34">
        <v>1591</v>
      </c>
      <c r="G155" s="34">
        <v>0</v>
      </c>
      <c r="H155" s="11">
        <v>12</v>
      </c>
      <c r="I155" s="11">
        <v>4</v>
      </c>
      <c r="J155" s="11" t="s">
        <v>365</v>
      </c>
      <c r="K155" s="14" t="s">
        <v>19</v>
      </c>
      <c r="L155" s="6">
        <v>44574.5</v>
      </c>
      <c r="M155" s="6" t="str">
        <f t="shared" si="4"/>
        <v>2022-01-13 12:00</v>
      </c>
      <c r="N155" s="11"/>
      <c r="O155" s="11">
        <v>1</v>
      </c>
      <c r="P155">
        <v>91</v>
      </c>
      <c r="Q155" t="s">
        <v>500</v>
      </c>
      <c r="R155" t="s">
        <v>557</v>
      </c>
      <c r="S155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('59','2022-01-13 12:00','3','0','','3','5','1','0','1','30','Marc Goldin','info@pandjtransport.co.uk','07399338288','20 Vickers Dr N, Weybridge, KT130YU.','4','12','0','0','2022-01-11','1591');</v>
      </c>
    </row>
    <row r="156" spans="1:19" x14ac:dyDescent="0.2">
      <c r="A156" s="7" t="s">
        <v>488</v>
      </c>
      <c r="B156" s="11">
        <v>59</v>
      </c>
      <c r="C156" s="13">
        <v>5</v>
      </c>
      <c r="D156" s="11">
        <v>3</v>
      </c>
      <c r="E156" s="3">
        <v>30</v>
      </c>
      <c r="F156" s="34">
        <v>1613</v>
      </c>
      <c r="G156" s="34">
        <v>0</v>
      </c>
      <c r="H156" s="11">
        <v>12</v>
      </c>
      <c r="I156" s="11">
        <v>4</v>
      </c>
      <c r="J156" s="11" t="s">
        <v>365</v>
      </c>
      <c r="K156" s="14" t="s">
        <v>19</v>
      </c>
      <c r="L156" s="6">
        <v>44574.5</v>
      </c>
      <c r="M156" s="6" t="str">
        <f t="shared" si="4"/>
        <v>2022-01-13 12:00</v>
      </c>
      <c r="N156" s="11"/>
      <c r="O156" s="11">
        <v>1</v>
      </c>
      <c r="P156">
        <v>91</v>
      </c>
      <c r="Q156" t="s">
        <v>500</v>
      </c>
      <c r="R156" t="s">
        <v>557</v>
      </c>
      <c r="S156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('59','2022-01-13 12:00','3','0','','3','5','1','0','1','30','Marc Goldin','info@pandjtransport.co.uk','07399338288','20 Vickers Dr N, Weybridge, KT130YU.','4','12','0','0','2022-01-11','1613');</v>
      </c>
    </row>
    <row r="157" spans="1:19" x14ac:dyDescent="0.2">
      <c r="A157" s="7" t="s">
        <v>488</v>
      </c>
      <c r="B157" s="11">
        <v>59</v>
      </c>
      <c r="C157" s="13">
        <v>5</v>
      </c>
      <c r="D157" s="11">
        <v>1</v>
      </c>
      <c r="E157" s="3">
        <v>55</v>
      </c>
      <c r="F157" s="34">
        <v>0</v>
      </c>
      <c r="G157" s="11">
        <v>1743</v>
      </c>
      <c r="H157" s="11">
        <v>12</v>
      </c>
      <c r="I157" s="11">
        <v>2</v>
      </c>
      <c r="J157" s="11" t="s">
        <v>365</v>
      </c>
      <c r="K157" s="14" t="s">
        <v>19</v>
      </c>
      <c r="L157" s="6">
        <v>44574.5</v>
      </c>
      <c r="M157" s="6" t="str">
        <f t="shared" si="4"/>
        <v>2022-01-13 12:00</v>
      </c>
      <c r="N157" s="11"/>
      <c r="O157" s="11">
        <v>1</v>
      </c>
      <c r="P157">
        <v>91</v>
      </c>
      <c r="Q157" t="s">
        <v>500</v>
      </c>
      <c r="R157" t="s">
        <v>557</v>
      </c>
      <c r="S157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('59','2022-01-13 12:00','1','1743','','3','5','1','0','1','55','Marc Goldin','info@pandjtransport.co.uk','07399338288','20 Vickers Dr N, Weybridge, KT130YU.','2','12','0','0','2022-01-11','0');</v>
      </c>
    </row>
    <row r="158" spans="1:19" x14ac:dyDescent="0.2">
      <c r="A158" s="7" t="s">
        <v>488</v>
      </c>
      <c r="B158" s="11">
        <v>59</v>
      </c>
      <c r="C158" s="13">
        <v>5</v>
      </c>
      <c r="D158" s="11">
        <v>1</v>
      </c>
      <c r="E158" s="3">
        <v>55</v>
      </c>
      <c r="F158" s="34">
        <v>0</v>
      </c>
      <c r="G158" s="11">
        <v>1744</v>
      </c>
      <c r="H158" s="11">
        <v>12</v>
      </c>
      <c r="I158" s="11">
        <v>4</v>
      </c>
      <c r="J158" s="11" t="s">
        <v>365</v>
      </c>
      <c r="K158" s="14" t="s">
        <v>19</v>
      </c>
      <c r="L158" s="6">
        <v>44574.5</v>
      </c>
      <c r="M158" s="6" t="str">
        <f t="shared" si="4"/>
        <v>2022-01-13 12:00</v>
      </c>
      <c r="N158" s="11"/>
      <c r="O158" s="11">
        <v>1</v>
      </c>
      <c r="P158">
        <v>91</v>
      </c>
      <c r="Q158" t="s">
        <v>500</v>
      </c>
      <c r="R158" t="s">
        <v>557</v>
      </c>
      <c r="S158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('59','2022-01-13 12:00','1','1744','','3','5','1','0','1','55','Marc Goldin','info@pandjtransport.co.uk','07399338288','20 Vickers Dr N, Weybridge, KT130YU.','4','12','0','0','2022-01-11','0');</v>
      </c>
    </row>
    <row r="159" spans="1:19" x14ac:dyDescent="0.2">
      <c r="A159" s="7" t="s">
        <v>488</v>
      </c>
      <c r="B159" s="11">
        <v>59</v>
      </c>
      <c r="C159" s="13">
        <v>5</v>
      </c>
      <c r="D159" s="11">
        <v>1</v>
      </c>
      <c r="E159" s="3">
        <v>55</v>
      </c>
      <c r="F159" s="34">
        <v>0</v>
      </c>
      <c r="G159" s="11">
        <v>1745</v>
      </c>
      <c r="H159" s="11">
        <v>12</v>
      </c>
      <c r="I159" s="11">
        <v>4</v>
      </c>
      <c r="J159" s="11" t="s">
        <v>365</v>
      </c>
      <c r="K159" s="14" t="s">
        <v>19</v>
      </c>
      <c r="L159" s="6">
        <v>44574.5</v>
      </c>
      <c r="M159" s="6" t="str">
        <f t="shared" si="4"/>
        <v>2022-01-13 12:00</v>
      </c>
      <c r="N159" s="11"/>
      <c r="O159" s="11">
        <v>1</v>
      </c>
      <c r="P159">
        <v>91</v>
      </c>
      <c r="Q159" t="s">
        <v>500</v>
      </c>
      <c r="R159" t="s">
        <v>557</v>
      </c>
      <c r="S159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('59','2022-01-13 12:00','1','1745','','3','5','1','0','1','55','Marc Goldin','info@pandjtransport.co.uk','07399338288','20 Vickers Dr N, Weybridge, KT130YU.','4','12','0','0','2022-01-11','0');</v>
      </c>
    </row>
    <row r="160" spans="1:19" x14ac:dyDescent="0.2">
      <c r="A160" s="7" t="s">
        <v>481</v>
      </c>
      <c r="B160" s="11">
        <v>57</v>
      </c>
      <c r="C160" s="13">
        <v>30</v>
      </c>
      <c r="D160" s="11">
        <v>2</v>
      </c>
      <c r="E160" s="3">
        <v>50</v>
      </c>
      <c r="F160" s="34">
        <v>0</v>
      </c>
      <c r="G160" s="11">
        <v>486</v>
      </c>
      <c r="H160" s="11">
        <v>12</v>
      </c>
      <c r="I160" s="11">
        <v>2</v>
      </c>
      <c r="J160" s="11" t="s">
        <v>385</v>
      </c>
      <c r="K160" s="14" t="s">
        <v>200</v>
      </c>
      <c r="L160" s="6">
        <v>44574.583333333336</v>
      </c>
      <c r="M160" s="6" t="str">
        <f t="shared" si="4"/>
        <v>2022-01-13 14:00</v>
      </c>
      <c r="N160" s="11" t="s">
        <v>272</v>
      </c>
      <c r="O160" s="11">
        <v>1</v>
      </c>
      <c r="P160">
        <v>86</v>
      </c>
      <c r="Q160" t="s">
        <v>531</v>
      </c>
      <c r="R160" t="s">
        <v>588</v>
      </c>
      <c r="S160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('57','2022-01-13 14:00','2','486','Faulty side scan.','3','30','1','0','1','50','Baljit Bains','nanaktransportltd@gmail.com','07976930221','Euro Storage, Heathrow. TW62DN.','2','12','0','0','2021-12-09','0');</v>
      </c>
    </row>
    <row r="161" spans="1:19" x14ac:dyDescent="0.2">
      <c r="A161" s="7" t="s">
        <v>481</v>
      </c>
      <c r="B161" s="11">
        <v>57</v>
      </c>
      <c r="C161" s="13">
        <v>30</v>
      </c>
      <c r="D161" s="11">
        <v>2</v>
      </c>
      <c r="E161" s="3">
        <v>50</v>
      </c>
      <c r="F161" s="34">
        <v>0</v>
      </c>
      <c r="G161" s="11">
        <v>487</v>
      </c>
      <c r="H161" s="11">
        <v>12</v>
      </c>
      <c r="I161" s="11">
        <v>2</v>
      </c>
      <c r="J161" s="11" t="s">
        <v>385</v>
      </c>
      <c r="K161" s="14" t="s">
        <v>200</v>
      </c>
      <c r="L161" s="6">
        <v>44574.583333333336</v>
      </c>
      <c r="M161" s="6" t="str">
        <f t="shared" si="4"/>
        <v>2022-01-13 14:00</v>
      </c>
      <c r="N161" s="11" t="s">
        <v>272</v>
      </c>
      <c r="O161" s="11">
        <v>1</v>
      </c>
      <c r="P161">
        <v>86</v>
      </c>
      <c r="Q161" t="s">
        <v>531</v>
      </c>
      <c r="R161" t="s">
        <v>588</v>
      </c>
      <c r="S161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('57','2022-01-13 14:00','2','487','Faulty side scan.','3','30','1','0','1','50','Baljit Bains','nanaktransportltd@gmail.com','07976930221','Euro Storage, Heathrow. TW62DN.','2','12','0','0','2021-12-09','0');</v>
      </c>
    </row>
    <row r="162" spans="1:19" x14ac:dyDescent="0.2">
      <c r="A162" s="7" t="s">
        <v>489</v>
      </c>
      <c r="B162" s="11">
        <v>150</v>
      </c>
      <c r="C162" s="31">
        <v>4</v>
      </c>
      <c r="D162" s="11">
        <v>1</v>
      </c>
      <c r="E162" s="3">
        <v>50</v>
      </c>
      <c r="F162" s="34">
        <v>0</v>
      </c>
      <c r="G162" s="11">
        <v>1747</v>
      </c>
      <c r="H162" s="11">
        <v>12</v>
      </c>
      <c r="I162" s="11">
        <v>2</v>
      </c>
      <c r="J162" s="11" t="s">
        <v>386</v>
      </c>
      <c r="K162" s="14" t="s">
        <v>275</v>
      </c>
      <c r="L162" s="6">
        <v>44578.25</v>
      </c>
      <c r="M162" s="6" t="str">
        <f t="shared" si="4"/>
        <v>2022-01-17 06:00</v>
      </c>
      <c r="N162" s="11"/>
      <c r="O162" s="11">
        <v>1</v>
      </c>
      <c r="P162">
        <v>152</v>
      </c>
      <c r="Q162" t="s">
        <v>543</v>
      </c>
      <c r="R162" t="s">
        <v>600</v>
      </c>
      <c r="S162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('150','2022-01-17 06:00','1','1747','','3','4','1','0','1','50','Steven   O&amp;#39;leary','stevenoleary37@icloud.com','07853843439','38 Thorney Ln, Iver, SL09HE.','2','12','0','0','2021-11-25','0');</v>
      </c>
    </row>
    <row r="163" spans="1:19" x14ac:dyDescent="0.2">
      <c r="A163" s="7" t="s">
        <v>489</v>
      </c>
      <c r="B163" s="11">
        <v>150</v>
      </c>
      <c r="C163" s="31">
        <v>4</v>
      </c>
      <c r="D163" s="11">
        <v>1</v>
      </c>
      <c r="E163" s="3">
        <v>50</v>
      </c>
      <c r="F163" s="34">
        <v>0</v>
      </c>
      <c r="G163" s="11">
        <v>1746</v>
      </c>
      <c r="H163" s="11">
        <v>12</v>
      </c>
      <c r="I163" s="11">
        <v>2</v>
      </c>
      <c r="J163" s="11" t="s">
        <v>386</v>
      </c>
      <c r="K163" s="14" t="s">
        <v>275</v>
      </c>
      <c r="L163" s="6">
        <v>44578.25</v>
      </c>
      <c r="M163" s="6" t="str">
        <f t="shared" si="4"/>
        <v>2022-01-17 06:00</v>
      </c>
      <c r="N163" s="11"/>
      <c r="O163" s="11">
        <v>1</v>
      </c>
      <c r="P163">
        <v>152</v>
      </c>
      <c r="Q163" t="s">
        <v>543</v>
      </c>
      <c r="R163" t="s">
        <v>600</v>
      </c>
      <c r="S163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('150','2022-01-17 06:00','1','1746','','3','4','1','0','1','50','Steven   O&amp;#39;leary','stevenoleary37@icloud.com','07853843439','38 Thorney Ln, Iver, SL09HE.','2','12','0','0','2021-11-25','0');</v>
      </c>
    </row>
    <row r="164" spans="1:19" x14ac:dyDescent="0.2">
      <c r="A164" s="7" t="s">
        <v>489</v>
      </c>
      <c r="B164" s="11">
        <v>150</v>
      </c>
      <c r="C164" s="31">
        <v>4</v>
      </c>
      <c r="D164" s="11">
        <v>1</v>
      </c>
      <c r="E164" s="3">
        <v>50</v>
      </c>
      <c r="F164" s="34">
        <v>0</v>
      </c>
      <c r="G164" s="11">
        <v>1748</v>
      </c>
      <c r="H164" s="11">
        <v>12</v>
      </c>
      <c r="I164" s="11">
        <v>2</v>
      </c>
      <c r="J164" s="11" t="s">
        <v>386</v>
      </c>
      <c r="K164" s="14" t="s">
        <v>275</v>
      </c>
      <c r="L164" s="6">
        <v>44578.25</v>
      </c>
      <c r="M164" s="6" t="str">
        <f t="shared" si="4"/>
        <v>2022-01-17 06:00</v>
      </c>
      <c r="N164" s="11"/>
      <c r="O164" s="11">
        <v>1</v>
      </c>
      <c r="P164">
        <v>152</v>
      </c>
      <c r="Q164" t="s">
        <v>543</v>
      </c>
      <c r="R164" t="s">
        <v>600</v>
      </c>
      <c r="S164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('150','2022-01-17 06:00','1','1748','','3','4','1','0','1','50','Steven   O&amp;#39;leary','stevenoleary37@icloud.com','07853843439','38 Thorney Ln, Iver, SL09HE.','2','12','0','0','2021-11-25','0');</v>
      </c>
    </row>
    <row r="165" spans="1:19" x14ac:dyDescent="0.2">
      <c r="A165" s="7" t="s">
        <v>489</v>
      </c>
      <c r="B165" s="11">
        <v>150</v>
      </c>
      <c r="C165" s="31">
        <v>4</v>
      </c>
      <c r="D165" s="11">
        <v>1</v>
      </c>
      <c r="E165" s="3">
        <v>50</v>
      </c>
      <c r="F165" s="34">
        <v>0</v>
      </c>
      <c r="G165" s="11">
        <v>1749</v>
      </c>
      <c r="H165" s="11">
        <v>12</v>
      </c>
      <c r="I165" s="11">
        <v>2</v>
      </c>
      <c r="J165" s="11" t="s">
        <v>386</v>
      </c>
      <c r="K165" s="14" t="s">
        <v>275</v>
      </c>
      <c r="L165" s="6">
        <v>44578.25</v>
      </c>
      <c r="M165" s="6" t="str">
        <f t="shared" si="4"/>
        <v>2022-01-17 06:00</v>
      </c>
      <c r="N165" s="11"/>
      <c r="O165" s="11">
        <v>1</v>
      </c>
      <c r="P165">
        <v>152</v>
      </c>
      <c r="Q165" t="s">
        <v>543</v>
      </c>
      <c r="R165" t="s">
        <v>600</v>
      </c>
      <c r="S165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('150','2022-01-17 06:00','1','1749','','3','4','1','0','1','50','Steven   O&amp;#39;leary','stevenoleary37@icloud.com','07853843439','38 Thorney Ln, Iver, SL09HE.','2','12','0','0','2021-11-25','0');</v>
      </c>
    </row>
    <row r="166" spans="1:19" x14ac:dyDescent="0.2">
      <c r="A166" s="7" t="s">
        <v>490</v>
      </c>
      <c r="B166" s="11">
        <v>59</v>
      </c>
      <c r="C166" s="13">
        <v>5</v>
      </c>
      <c r="D166" s="11">
        <v>2</v>
      </c>
      <c r="E166" s="3">
        <v>50</v>
      </c>
      <c r="F166" s="34">
        <v>0</v>
      </c>
      <c r="G166" s="11">
        <v>1699</v>
      </c>
      <c r="H166" s="11">
        <v>12</v>
      </c>
      <c r="I166" s="11">
        <v>2</v>
      </c>
      <c r="J166" s="11" t="s">
        <v>387</v>
      </c>
      <c r="K166" s="14" t="s">
        <v>19</v>
      </c>
      <c r="L166" s="6">
        <v>44578.458333333336</v>
      </c>
      <c r="M166" s="6" t="str">
        <f t="shared" si="4"/>
        <v>2022-01-17 11:00</v>
      </c>
      <c r="N166" s="11" t="s">
        <v>279</v>
      </c>
      <c r="O166" s="11">
        <v>1</v>
      </c>
      <c r="P166">
        <v>91</v>
      </c>
      <c r="Q166" t="s">
        <v>500</v>
      </c>
      <c r="R166" t="s">
        <v>557</v>
      </c>
      <c r="S166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('59','2022-01-17 11:00','2','1699','Device keeps rebooting as well as falling down, may need replacing.','3','5','1','0','1','50','Marc Goldin','info@pandjtransport.co.uk','07399338288','51 Hemini Court, Stirling Way Borehamwood Herts, WD62GA.','2','12','0','0','2021-12-29','0');</v>
      </c>
    </row>
    <row r="167" spans="1:19" x14ac:dyDescent="0.2">
      <c r="A167" s="7" t="s">
        <v>488</v>
      </c>
      <c r="B167" s="11">
        <v>59</v>
      </c>
      <c r="C167" s="13">
        <v>5</v>
      </c>
      <c r="D167" s="11">
        <v>3</v>
      </c>
      <c r="E167" s="3">
        <v>40</v>
      </c>
      <c r="F167" s="34">
        <v>1612</v>
      </c>
      <c r="G167" s="34">
        <v>0</v>
      </c>
      <c r="H167" s="11">
        <v>12</v>
      </c>
      <c r="I167" s="11">
        <v>4</v>
      </c>
      <c r="J167" s="11" t="s">
        <v>365</v>
      </c>
      <c r="K167" s="14" t="s">
        <v>19</v>
      </c>
      <c r="L167" s="6">
        <v>44578.583333333336</v>
      </c>
      <c r="M167" s="6" t="str">
        <f t="shared" si="4"/>
        <v>2022-01-17 14:00</v>
      </c>
      <c r="N167" s="11"/>
      <c r="O167" s="11">
        <v>1</v>
      </c>
      <c r="P167">
        <v>91</v>
      </c>
      <c r="Q167" t="s">
        <v>500</v>
      </c>
      <c r="R167" t="s">
        <v>557</v>
      </c>
      <c r="S167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('59','2022-01-17 14:00','3','0','','3','5','1','0','1','40','Marc Goldin','info@pandjtransport.co.uk','07399338288','20 Vickers Dr N, Weybridge, KT130YU.','4','12','0','0','2022-01-11','1612');</v>
      </c>
    </row>
    <row r="168" spans="1:19" x14ac:dyDescent="0.2">
      <c r="A168" s="7" t="s">
        <v>488</v>
      </c>
      <c r="B168" s="11">
        <v>59</v>
      </c>
      <c r="C168" s="13">
        <v>5</v>
      </c>
      <c r="D168" s="11">
        <v>3</v>
      </c>
      <c r="E168" s="3">
        <v>40</v>
      </c>
      <c r="F168" s="34">
        <v>1569</v>
      </c>
      <c r="G168" s="34">
        <v>0</v>
      </c>
      <c r="H168" s="11">
        <v>12</v>
      </c>
      <c r="I168" s="11">
        <v>4</v>
      </c>
      <c r="J168" s="11" t="s">
        <v>365</v>
      </c>
      <c r="K168" s="14" t="s">
        <v>19</v>
      </c>
      <c r="L168" s="6">
        <v>44578.583333333336</v>
      </c>
      <c r="M168" s="6" t="str">
        <f t="shared" si="4"/>
        <v>2022-01-17 14:00</v>
      </c>
      <c r="N168" s="11"/>
      <c r="O168" s="11">
        <v>1</v>
      </c>
      <c r="P168">
        <v>91</v>
      </c>
      <c r="Q168" t="s">
        <v>500</v>
      </c>
      <c r="R168" t="s">
        <v>557</v>
      </c>
      <c r="S168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('59','2022-01-17 14:00','3','0','','3','5','1','0','1','40','Marc Goldin','info@pandjtransport.co.uk','07399338288','20 Vickers Dr N, Weybridge, KT130YU.','4','12','0','0','2022-01-11','1569');</v>
      </c>
    </row>
    <row r="169" spans="1:19" x14ac:dyDescent="0.2">
      <c r="A169" s="7" t="s">
        <v>488</v>
      </c>
      <c r="B169" s="11">
        <v>59</v>
      </c>
      <c r="C169" s="13">
        <v>5</v>
      </c>
      <c r="D169" s="11">
        <v>3</v>
      </c>
      <c r="E169" s="3">
        <v>30</v>
      </c>
      <c r="F169" s="34">
        <v>1433</v>
      </c>
      <c r="G169" s="34">
        <v>0</v>
      </c>
      <c r="H169" s="11">
        <v>12</v>
      </c>
      <c r="I169" s="11">
        <v>4</v>
      </c>
      <c r="J169" s="11" t="s">
        <v>365</v>
      </c>
      <c r="K169" s="14" t="s">
        <v>19</v>
      </c>
      <c r="L169" s="6">
        <v>44578.583333333336</v>
      </c>
      <c r="M169" s="6" t="str">
        <f t="shared" si="4"/>
        <v>2022-01-17 14:00</v>
      </c>
      <c r="N169" s="11"/>
      <c r="O169" s="11">
        <v>1</v>
      </c>
      <c r="P169">
        <v>91</v>
      </c>
      <c r="Q169" t="s">
        <v>500</v>
      </c>
      <c r="R169" t="s">
        <v>557</v>
      </c>
      <c r="S169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('59','2022-01-17 14:00','3','0','','3','5','1','0','1','30','Marc Goldin','info@pandjtransport.co.uk','07399338288','20 Vickers Dr N, Weybridge, KT130YU.','4','12','0','0','2022-01-11','1433');</v>
      </c>
    </row>
    <row r="170" spans="1:19" x14ac:dyDescent="0.2">
      <c r="A170" s="7" t="s">
        <v>488</v>
      </c>
      <c r="B170" s="11">
        <v>59</v>
      </c>
      <c r="C170" s="13">
        <v>5</v>
      </c>
      <c r="D170" s="11">
        <v>1</v>
      </c>
      <c r="E170" s="3">
        <v>55</v>
      </c>
      <c r="F170" s="34">
        <v>0</v>
      </c>
      <c r="G170" s="11">
        <v>1613</v>
      </c>
      <c r="H170" s="11">
        <v>12</v>
      </c>
      <c r="I170" s="11">
        <v>4</v>
      </c>
      <c r="J170" s="11" t="s">
        <v>365</v>
      </c>
      <c r="K170" s="14" t="s">
        <v>19</v>
      </c>
      <c r="L170" s="6">
        <v>44578.583333333336</v>
      </c>
      <c r="M170" s="6" t="str">
        <f t="shared" si="4"/>
        <v>2022-01-17 14:00</v>
      </c>
      <c r="N170" s="11"/>
      <c r="O170" s="11">
        <v>1</v>
      </c>
      <c r="P170">
        <v>91</v>
      </c>
      <c r="Q170" t="s">
        <v>500</v>
      </c>
      <c r="R170" t="s">
        <v>557</v>
      </c>
      <c r="S170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('59','2022-01-17 14:00','1','1613','','3','5','1','0','1','55','Marc Goldin','info@pandjtransport.co.uk','07399338288','20 Vickers Dr N, Weybridge, KT130YU.','4','12','0','0','2022-01-11','0');</v>
      </c>
    </row>
    <row r="171" spans="1:19" x14ac:dyDescent="0.2">
      <c r="A171" s="7" t="s">
        <v>488</v>
      </c>
      <c r="B171" s="11">
        <v>135</v>
      </c>
      <c r="C171" s="13">
        <v>4</v>
      </c>
      <c r="D171" s="11">
        <v>1</v>
      </c>
      <c r="E171" s="3">
        <v>50</v>
      </c>
      <c r="F171" s="34">
        <v>0</v>
      </c>
      <c r="G171" s="11">
        <v>1751</v>
      </c>
      <c r="H171" s="11">
        <v>13</v>
      </c>
      <c r="I171" s="11">
        <v>2</v>
      </c>
      <c r="J171" s="15" t="s">
        <v>388</v>
      </c>
      <c r="K171" s="29" t="s">
        <v>283</v>
      </c>
      <c r="L171" s="6">
        <v>44581.375</v>
      </c>
      <c r="M171" s="6" t="str">
        <f t="shared" si="4"/>
        <v>2022-01-20 09:00</v>
      </c>
      <c r="N171" s="15"/>
      <c r="O171" s="11">
        <v>1</v>
      </c>
      <c r="P171">
        <v>137</v>
      </c>
      <c r="Q171" t="s">
        <v>544</v>
      </c>
      <c r="R171" t="s">
        <v>601</v>
      </c>
      <c r="S171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('135','2022-01-20 09:00','1','1751','','3','4','1','0','1','50','Steven Wiliamson','steve.williamson@dpdlocal.co.uk','07824594270','DPD Local, Wharf Approach, Aldridge, WS98BX.','2','13','0','0','2022-01-11','0');</v>
      </c>
    </row>
    <row r="172" spans="1:19" x14ac:dyDescent="0.2">
      <c r="A172" s="7" t="s">
        <v>488</v>
      </c>
      <c r="B172" s="11">
        <v>12</v>
      </c>
      <c r="C172" s="13">
        <v>15</v>
      </c>
      <c r="D172" s="11">
        <v>3</v>
      </c>
      <c r="E172" s="3">
        <v>40</v>
      </c>
      <c r="F172" s="34">
        <v>0</v>
      </c>
      <c r="G172" s="34">
        <v>0</v>
      </c>
      <c r="H172" s="11">
        <v>13</v>
      </c>
      <c r="I172" s="11">
        <v>4</v>
      </c>
      <c r="J172" s="11" t="s">
        <v>389</v>
      </c>
      <c r="K172" s="14" t="s">
        <v>285</v>
      </c>
      <c r="L172" s="6">
        <v>44581.416666666664</v>
      </c>
      <c r="M172" s="6" t="str">
        <f t="shared" si="4"/>
        <v>2022-01-20 10:00</v>
      </c>
      <c r="N172" s="11" t="s">
        <v>437</v>
      </c>
      <c r="O172" s="11">
        <v>1</v>
      </c>
      <c r="P172">
        <v>11</v>
      </c>
      <c r="Q172" t="s">
        <v>512</v>
      </c>
      <c r="R172" t="s">
        <v>569</v>
      </c>
      <c r="S172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('12','2022-01-20 10:00','3','0','Tracker de-install also required.','3','15','1','0','1','40','Mark Barlow','mark.barlow@barlows-electrical.com','01922611288','Fix Auto Walsall, Henry Street, Walsall, WS29NT.','4','13','0','0','2022-01-11','0');</v>
      </c>
    </row>
    <row r="173" spans="1:19" x14ac:dyDescent="0.2">
      <c r="A173" s="7" t="s">
        <v>488</v>
      </c>
      <c r="B173" s="11">
        <v>118</v>
      </c>
      <c r="C173" s="13">
        <v>5</v>
      </c>
      <c r="D173" s="11">
        <v>3</v>
      </c>
      <c r="E173" s="3">
        <v>30</v>
      </c>
      <c r="F173" s="34">
        <v>1571</v>
      </c>
      <c r="G173" s="34">
        <v>0</v>
      </c>
      <c r="H173" s="11">
        <v>13</v>
      </c>
      <c r="I173" s="11">
        <v>4</v>
      </c>
      <c r="J173" s="11" t="s">
        <v>390</v>
      </c>
      <c r="K173" s="14" t="s">
        <v>287</v>
      </c>
      <c r="L173" s="6">
        <v>44581.541666666664</v>
      </c>
      <c r="M173" s="6" t="str">
        <f t="shared" si="4"/>
        <v>2022-01-20 13:00</v>
      </c>
      <c r="N173" s="11"/>
      <c r="O173" s="11">
        <v>1</v>
      </c>
      <c r="P173">
        <v>77</v>
      </c>
      <c r="Q173" t="s">
        <v>545</v>
      </c>
      <c r="R173" t="s">
        <v>602</v>
      </c>
      <c r="S173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('118','2022-01-20 13:00','3','0','','3','5','1','0','1','30','Matthew Heslop','matthew.heslop@mfmdelivery.com','07984431800','Amazon Compound, Bankwood Road Industrial Est, DN110PS.','4','13','0','0','2022-01-11','1571');</v>
      </c>
    </row>
    <row r="174" spans="1:19" x14ac:dyDescent="0.2">
      <c r="A174" s="7" t="s">
        <v>488</v>
      </c>
      <c r="B174" s="11">
        <v>118</v>
      </c>
      <c r="C174" s="13">
        <v>5</v>
      </c>
      <c r="D174" s="11">
        <v>1</v>
      </c>
      <c r="E174" s="3">
        <v>55</v>
      </c>
      <c r="F174" s="34">
        <v>0</v>
      </c>
      <c r="G174" s="11">
        <v>1752</v>
      </c>
      <c r="H174" s="11">
        <v>13</v>
      </c>
      <c r="I174" s="11">
        <v>4</v>
      </c>
      <c r="J174" s="11" t="s">
        <v>390</v>
      </c>
      <c r="K174" s="14" t="s">
        <v>287</v>
      </c>
      <c r="L174" s="10">
        <v>44581.541666666664</v>
      </c>
      <c r="M174" s="6" t="str">
        <f t="shared" si="4"/>
        <v>2022-01-20 13:00</v>
      </c>
      <c r="N174" s="11"/>
      <c r="O174" s="11">
        <v>1</v>
      </c>
      <c r="P174">
        <v>77</v>
      </c>
      <c r="Q174" t="s">
        <v>545</v>
      </c>
      <c r="R174" t="s">
        <v>602</v>
      </c>
      <c r="S174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('118','2022-01-20 13:00','1','1752','','3','5','1','0','1','55','Matthew Heslop','matthew.heslop@mfmdelivery.com','07984431800','Amazon Compound, Bankwood Road Industrial Est, DN110PS.','4','13','0','0','2022-01-11','0');</v>
      </c>
    </row>
    <row r="175" spans="1:19" x14ac:dyDescent="0.2">
      <c r="A175" s="7" t="s">
        <v>491</v>
      </c>
      <c r="B175" s="11">
        <v>93</v>
      </c>
      <c r="C175" s="13">
        <v>15</v>
      </c>
      <c r="D175" s="11">
        <v>2</v>
      </c>
      <c r="E175" s="3">
        <v>55</v>
      </c>
      <c r="F175" s="34">
        <v>0</v>
      </c>
      <c r="G175" s="11">
        <v>1009</v>
      </c>
      <c r="H175" s="11">
        <v>13</v>
      </c>
      <c r="I175" s="11">
        <v>2</v>
      </c>
      <c r="J175" s="11" t="s">
        <v>391</v>
      </c>
      <c r="K175" s="11" t="s">
        <v>402</v>
      </c>
      <c r="L175" s="10">
        <v>44581.645833333336</v>
      </c>
      <c r="M175" s="6" t="str">
        <f t="shared" si="4"/>
        <v>2022-01-20 15:30</v>
      </c>
      <c r="N175" s="11"/>
      <c r="O175" s="11">
        <v>1</v>
      </c>
      <c r="P175">
        <v>70</v>
      </c>
      <c r="Q175" t="s">
        <v>526</v>
      </c>
      <c r="R175" t="s">
        <v>583</v>
      </c>
      <c r="S175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('93','2022-01-20 15:30','2','1009','','3','15','1','0','1','55','Alison Sparrow','AlisonSparrow@voyagecare.com','01709558639 / 07892789818','Ten Acre Respite, 89 Ten Acre Road, Kimberworth Park, Rotherham, S613RW.','2','13','0','0','2022-01-18','0');</v>
      </c>
    </row>
    <row r="176" spans="1:19" x14ac:dyDescent="0.2">
      <c r="A176" s="25" t="s">
        <v>488</v>
      </c>
      <c r="B176" s="26">
        <v>192</v>
      </c>
      <c r="C176" s="27">
        <v>4</v>
      </c>
      <c r="D176" s="11">
        <v>1</v>
      </c>
      <c r="E176" s="5">
        <v>50</v>
      </c>
      <c r="F176" s="34">
        <v>0</v>
      </c>
      <c r="G176" s="26">
        <v>1509</v>
      </c>
      <c r="H176" s="11">
        <v>13</v>
      </c>
      <c r="I176" s="11">
        <v>2</v>
      </c>
      <c r="J176" s="11" t="s">
        <v>392</v>
      </c>
      <c r="K176" s="28" t="s">
        <v>290</v>
      </c>
      <c r="L176" s="6">
        <v>44582.416666666664</v>
      </c>
      <c r="M176" s="6" t="str">
        <f t="shared" si="4"/>
        <v>2022-01-21 10:00</v>
      </c>
      <c r="N176" s="11"/>
      <c r="O176" s="11">
        <v>1</v>
      </c>
      <c r="P176">
        <v>252</v>
      </c>
      <c r="Q176" t="s">
        <v>546</v>
      </c>
      <c r="R176" t="s">
        <v>603</v>
      </c>
      <c r="S176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('192','2022-01-21 10:00','1','1509','','3','4','1','0','1','50','Neil Casey','n.casey925@btinternet.com','07887370986','Envision House ( Next to The Powerhouse), Teesside Airport, Darlington, County Durham, DL21TS.','2','13','0','0','2022-01-11','0');</v>
      </c>
    </row>
    <row r="177" spans="1:19" x14ac:dyDescent="0.2">
      <c r="A177" s="7" t="s">
        <v>488</v>
      </c>
      <c r="B177" s="11">
        <v>192</v>
      </c>
      <c r="C177" s="13">
        <v>4</v>
      </c>
      <c r="D177" s="11">
        <v>1</v>
      </c>
      <c r="E177" s="3">
        <v>50</v>
      </c>
      <c r="F177" s="34">
        <v>0</v>
      </c>
      <c r="G177" s="11">
        <v>1507</v>
      </c>
      <c r="H177" s="11">
        <v>13</v>
      </c>
      <c r="I177" s="11">
        <v>2</v>
      </c>
      <c r="J177" s="11" t="s">
        <v>392</v>
      </c>
      <c r="K177" s="14" t="s">
        <v>290</v>
      </c>
      <c r="L177" s="6">
        <v>44582.416666666664</v>
      </c>
      <c r="M177" s="6" t="str">
        <f t="shared" si="4"/>
        <v>2022-01-21 10:00</v>
      </c>
      <c r="N177" s="11"/>
      <c r="O177" s="11">
        <v>1</v>
      </c>
      <c r="P177">
        <v>252</v>
      </c>
      <c r="Q177" t="s">
        <v>546</v>
      </c>
      <c r="R177" t="s">
        <v>603</v>
      </c>
      <c r="S177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('192','2022-01-21 10:00','1','1507','','3','4','1','0','1','50','Neil Casey','n.casey925@btinternet.com','07887370986','Envision House ( Next to The Powerhouse), Teesside Airport, Darlington, County Durham, DL21TS.','2','13','0','0','2022-01-11','0');</v>
      </c>
    </row>
    <row r="178" spans="1:19" x14ac:dyDescent="0.2">
      <c r="A178" s="22" t="s">
        <v>488</v>
      </c>
      <c r="B178" s="17">
        <v>192</v>
      </c>
      <c r="C178" s="23">
        <v>4</v>
      </c>
      <c r="D178" s="11">
        <v>1</v>
      </c>
      <c r="E178" s="4">
        <v>50</v>
      </c>
      <c r="F178" s="34">
        <v>0</v>
      </c>
      <c r="G178" s="17">
        <v>1557</v>
      </c>
      <c r="H178" s="11">
        <v>13</v>
      </c>
      <c r="I178" s="11">
        <v>2</v>
      </c>
      <c r="J178" s="11" t="s">
        <v>392</v>
      </c>
      <c r="K178" s="24" t="s">
        <v>290</v>
      </c>
      <c r="L178" s="6">
        <v>44582.416666666664</v>
      </c>
      <c r="M178" s="6" t="str">
        <f t="shared" si="4"/>
        <v>2022-01-21 10:00</v>
      </c>
      <c r="N178" s="11"/>
      <c r="O178" s="11">
        <v>1</v>
      </c>
      <c r="P178">
        <v>252</v>
      </c>
      <c r="Q178" t="s">
        <v>546</v>
      </c>
      <c r="R178" t="s">
        <v>603</v>
      </c>
      <c r="S178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('192','2022-01-21 10:00','1','1557','','3','4','1','0','1','50','Neil Casey','n.casey925@btinternet.com','07887370986','Envision House ( Next to The Powerhouse), Teesside Airport, Darlington, County Durham, DL21TS.','2','13','0','0','2022-01-11','0');</v>
      </c>
    </row>
    <row r="179" spans="1:19" x14ac:dyDescent="0.2">
      <c r="A179" s="7" t="s">
        <v>492</v>
      </c>
      <c r="B179" s="11">
        <v>17</v>
      </c>
      <c r="C179" s="13">
        <v>1</v>
      </c>
      <c r="D179" s="11">
        <v>3</v>
      </c>
      <c r="E179" s="3">
        <v>40</v>
      </c>
      <c r="F179" s="34">
        <v>173</v>
      </c>
      <c r="G179" s="34">
        <v>0</v>
      </c>
      <c r="H179" s="11">
        <v>12</v>
      </c>
      <c r="I179" s="11">
        <v>4</v>
      </c>
      <c r="J179" s="11" t="s">
        <v>393</v>
      </c>
      <c r="K179" s="14" t="s">
        <v>293</v>
      </c>
      <c r="L179" s="10">
        <v>44582.5</v>
      </c>
      <c r="M179" s="6" t="str">
        <f t="shared" si="4"/>
        <v>2022-01-21 12:00</v>
      </c>
      <c r="N179" s="11" t="s">
        <v>294</v>
      </c>
      <c r="O179" s="11">
        <v>1</v>
      </c>
      <c r="P179">
        <v>16</v>
      </c>
      <c r="Q179" t="s">
        <v>547</v>
      </c>
      <c r="R179" t="s">
        <v>604</v>
      </c>
      <c r="S179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('17','2022-01-21 12:00','3','0','Return camera to hub please.','3','1','1','0','1','40','George Stoian','Claucos7488@gmail.com','07413676272','5 Bencroft Rd, Hemel Hempstead, HP25UX,','4','12','0','0','2022-01-17','173');</v>
      </c>
    </row>
    <row r="180" spans="1:19" x14ac:dyDescent="0.2">
      <c r="A180" s="7" t="s">
        <v>493</v>
      </c>
      <c r="B180" s="11">
        <v>103</v>
      </c>
      <c r="C180" s="31">
        <v>4</v>
      </c>
      <c r="D180" s="11">
        <v>1</v>
      </c>
      <c r="E180" s="3">
        <v>50</v>
      </c>
      <c r="F180" s="34">
        <v>0</v>
      </c>
      <c r="G180" s="11">
        <v>1753</v>
      </c>
      <c r="H180" s="11">
        <v>13</v>
      </c>
      <c r="I180" s="11">
        <v>2</v>
      </c>
      <c r="J180" s="11" t="s">
        <v>394</v>
      </c>
      <c r="K180" s="14" t="s">
        <v>297</v>
      </c>
      <c r="L180" s="10">
        <v>44583.291666666664</v>
      </c>
      <c r="M180" s="6" t="str">
        <f t="shared" si="4"/>
        <v>2022-01-22 07:00</v>
      </c>
      <c r="N180" s="11"/>
      <c r="O180" s="11">
        <v>1</v>
      </c>
      <c r="P180">
        <v>139</v>
      </c>
      <c r="Q180" t="s">
        <v>548</v>
      </c>
      <c r="R180" t="s">
        <v>605</v>
      </c>
      <c r="S180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('103','2022-01-22 07:00','1','1753','','3','4','1','0','1','50','Chloe Hadfield','chloe.hadfield@hlstransport.co.uk','07812222012','Kilby Bridge Farm, Durnford Road, Wigston, Leicester, LE182RG.','2','13','0','0','2021-12-16','0');</v>
      </c>
    </row>
    <row r="181" spans="1:19" x14ac:dyDescent="0.2">
      <c r="A181" s="7" t="s">
        <v>487</v>
      </c>
      <c r="B181" s="11">
        <v>195</v>
      </c>
      <c r="C181" s="31">
        <v>4</v>
      </c>
      <c r="D181" s="11">
        <v>1</v>
      </c>
      <c r="E181" s="3">
        <v>50</v>
      </c>
      <c r="F181" s="34">
        <v>0</v>
      </c>
      <c r="G181" s="11">
        <v>1760</v>
      </c>
      <c r="H181" s="11">
        <v>13</v>
      </c>
      <c r="I181" s="11">
        <v>2</v>
      </c>
      <c r="J181" s="11" t="s">
        <v>396</v>
      </c>
      <c r="K181" s="14" t="s">
        <v>305</v>
      </c>
      <c r="L181" s="10">
        <v>44583.333333333336</v>
      </c>
      <c r="M181" s="6" t="str">
        <f t="shared" si="4"/>
        <v>2022-01-22 08:00</v>
      </c>
      <c r="N181" s="11"/>
      <c r="O181" s="11">
        <v>1</v>
      </c>
      <c r="P181">
        <v>254</v>
      </c>
      <c r="Q181" t="s">
        <v>549</v>
      </c>
      <c r="R181" t="s">
        <v>606</v>
      </c>
      <c r="S181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('195','2022-01-22 08:00','1','1760','','3','4','1','0','1','50','Daniel Hartley','dhartley@pjcplantltd.com','07526170715','33 Ravensbridge Drive, Leicester, LE40BX.','2','13','0','0','2021-12-10','0');</v>
      </c>
    </row>
    <row r="182" spans="1:19" x14ac:dyDescent="0.2">
      <c r="A182" s="7" t="s">
        <v>487</v>
      </c>
      <c r="B182" s="11">
        <v>195</v>
      </c>
      <c r="C182" s="31">
        <v>4</v>
      </c>
      <c r="D182" s="11">
        <v>1</v>
      </c>
      <c r="E182" s="3">
        <v>50</v>
      </c>
      <c r="F182" s="34">
        <v>0</v>
      </c>
      <c r="G182" s="11">
        <v>1759</v>
      </c>
      <c r="H182" s="11">
        <v>13</v>
      </c>
      <c r="I182" s="11">
        <v>2</v>
      </c>
      <c r="J182" s="11" t="s">
        <v>396</v>
      </c>
      <c r="K182" s="14" t="s">
        <v>305</v>
      </c>
      <c r="L182" s="10">
        <v>44583.333333333336</v>
      </c>
      <c r="M182" s="6" t="str">
        <f t="shared" si="4"/>
        <v>2022-01-22 08:00</v>
      </c>
      <c r="N182" s="11"/>
      <c r="O182" s="11">
        <v>1</v>
      </c>
      <c r="P182">
        <v>254</v>
      </c>
      <c r="Q182" t="s">
        <v>549</v>
      </c>
      <c r="R182" t="s">
        <v>606</v>
      </c>
      <c r="S182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('195','2022-01-22 08:00','1','1759','','3','4','1','0','1','50','Daniel Hartley','dhartley@pjcplantltd.com','07526170715','33 Ravensbridge Drive, Leicester, LE40BX.','2','13','0','0','2021-12-10','0');</v>
      </c>
    </row>
    <row r="183" spans="1:19" x14ac:dyDescent="0.2">
      <c r="A183" s="7" t="s">
        <v>487</v>
      </c>
      <c r="B183" s="11">
        <v>195</v>
      </c>
      <c r="C183" s="31">
        <v>4</v>
      </c>
      <c r="D183" s="11">
        <v>1</v>
      </c>
      <c r="E183" s="3">
        <v>50</v>
      </c>
      <c r="F183" s="34">
        <v>0</v>
      </c>
      <c r="G183" s="11">
        <v>1762</v>
      </c>
      <c r="H183" s="11">
        <v>13</v>
      </c>
      <c r="I183" s="11">
        <v>2</v>
      </c>
      <c r="J183" s="11" t="s">
        <v>396</v>
      </c>
      <c r="K183" s="14" t="s">
        <v>305</v>
      </c>
      <c r="L183" s="6">
        <v>44583.333333333336</v>
      </c>
      <c r="M183" s="6" t="str">
        <f t="shared" si="4"/>
        <v>2022-01-22 08:00</v>
      </c>
      <c r="N183" s="11"/>
      <c r="O183" s="11">
        <v>1</v>
      </c>
      <c r="P183">
        <v>254</v>
      </c>
      <c r="Q183" t="s">
        <v>549</v>
      </c>
      <c r="R183" t="s">
        <v>606</v>
      </c>
      <c r="S183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('195','2022-01-22 08:00','1','1762','','3','4','1','0','1','50','Daniel Hartley','dhartley@pjcplantltd.com','07526170715','33 Ravensbridge Drive, Leicester, LE40BX.','2','13','0','0','2021-12-10','0');</v>
      </c>
    </row>
    <row r="184" spans="1:19" x14ac:dyDescent="0.2">
      <c r="A184" s="7" t="s">
        <v>487</v>
      </c>
      <c r="B184" s="11">
        <v>195</v>
      </c>
      <c r="C184" s="31">
        <v>4</v>
      </c>
      <c r="D184" s="11">
        <v>1</v>
      </c>
      <c r="E184" s="3">
        <v>50</v>
      </c>
      <c r="F184" s="34">
        <v>0</v>
      </c>
      <c r="G184" s="11">
        <v>1761</v>
      </c>
      <c r="H184" s="11">
        <v>13</v>
      </c>
      <c r="I184" s="11">
        <v>2</v>
      </c>
      <c r="J184" s="11" t="s">
        <v>396</v>
      </c>
      <c r="K184" s="14" t="s">
        <v>305</v>
      </c>
      <c r="L184" s="6">
        <v>44583.333333333336</v>
      </c>
      <c r="M184" s="6" t="str">
        <f t="shared" si="4"/>
        <v>2022-01-22 08:00</v>
      </c>
      <c r="N184" s="11"/>
      <c r="O184" s="11">
        <v>1</v>
      </c>
      <c r="P184">
        <v>254</v>
      </c>
      <c r="Q184" t="s">
        <v>549</v>
      </c>
      <c r="R184" t="s">
        <v>606</v>
      </c>
      <c r="S184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('195','2022-01-22 08:00','1','1761','','3','4','1','0','1','50','Daniel Hartley','dhartley@pjcplantltd.com','07526170715','33 Ravensbridge Drive, Leicester, LE40BX.','2','13','0','0','2021-12-10','0');</v>
      </c>
    </row>
    <row r="185" spans="1:19" x14ac:dyDescent="0.2">
      <c r="A185" s="7" t="s">
        <v>487</v>
      </c>
      <c r="B185" s="11">
        <v>195</v>
      </c>
      <c r="C185" s="31">
        <v>4</v>
      </c>
      <c r="D185" s="11">
        <v>1</v>
      </c>
      <c r="E185" s="3">
        <v>50</v>
      </c>
      <c r="F185" s="34">
        <v>0</v>
      </c>
      <c r="G185" s="11">
        <v>1763</v>
      </c>
      <c r="H185" s="11">
        <v>13</v>
      </c>
      <c r="I185" s="11">
        <v>2</v>
      </c>
      <c r="J185" s="11" t="s">
        <v>396</v>
      </c>
      <c r="K185" s="14" t="s">
        <v>305</v>
      </c>
      <c r="L185" s="6">
        <v>44583.333333333336</v>
      </c>
      <c r="M185" s="6" t="str">
        <f t="shared" si="4"/>
        <v>2022-01-22 08:00</v>
      </c>
      <c r="N185" s="11"/>
      <c r="O185" s="11">
        <v>1</v>
      </c>
      <c r="P185">
        <v>254</v>
      </c>
      <c r="Q185" t="s">
        <v>549</v>
      </c>
      <c r="R185" t="s">
        <v>606</v>
      </c>
      <c r="S185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('195','2022-01-22 08:00','1','1763','','3','4','1','0','1','50','Daniel Hartley','dhartley@pjcplantltd.com','07526170715','33 Ravensbridge Drive, Leicester, LE40BX.','2','13','0','0','2021-12-10','0');</v>
      </c>
    </row>
    <row r="186" spans="1:19" x14ac:dyDescent="0.2">
      <c r="A186" s="7" t="s">
        <v>487</v>
      </c>
      <c r="B186" s="11">
        <v>195</v>
      </c>
      <c r="C186" s="31">
        <v>4</v>
      </c>
      <c r="D186" s="11">
        <v>1</v>
      </c>
      <c r="E186" s="3">
        <v>50</v>
      </c>
      <c r="F186" s="34">
        <v>0</v>
      </c>
      <c r="G186" s="11">
        <v>1758</v>
      </c>
      <c r="H186" s="11">
        <v>13</v>
      </c>
      <c r="I186" s="11">
        <v>2</v>
      </c>
      <c r="J186" s="11" t="s">
        <v>396</v>
      </c>
      <c r="K186" s="14" t="s">
        <v>305</v>
      </c>
      <c r="L186" s="6">
        <v>44583.333333333336</v>
      </c>
      <c r="M186" s="6" t="str">
        <f t="shared" si="4"/>
        <v>2022-01-22 08:00</v>
      </c>
      <c r="N186" s="11"/>
      <c r="O186" s="11">
        <v>1</v>
      </c>
      <c r="P186">
        <v>254</v>
      </c>
      <c r="Q186" t="s">
        <v>549</v>
      </c>
      <c r="R186" t="s">
        <v>606</v>
      </c>
      <c r="S186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('195','2022-01-22 08:00','1','1758','','3','4','1','0','1','50','Daniel Hartley','dhartley@pjcplantltd.com','07526170715','33 Ravensbridge Drive, Leicester, LE40BX.','2','13','0','0','2021-12-10','0');</v>
      </c>
    </row>
    <row r="187" spans="1:19" x14ac:dyDescent="0.2">
      <c r="A187" s="7" t="s">
        <v>494</v>
      </c>
      <c r="B187" s="11">
        <v>193</v>
      </c>
      <c r="C187" s="13">
        <v>4</v>
      </c>
      <c r="D187" s="11">
        <v>1</v>
      </c>
      <c r="E187" s="3">
        <v>50</v>
      </c>
      <c r="F187" s="34">
        <v>0</v>
      </c>
      <c r="G187" s="11">
        <v>1754</v>
      </c>
      <c r="H187" s="11">
        <v>12</v>
      </c>
      <c r="I187" s="11">
        <v>2</v>
      </c>
      <c r="J187" s="11" t="s">
        <v>395</v>
      </c>
      <c r="K187" s="14" t="s">
        <v>300</v>
      </c>
      <c r="L187" s="6">
        <v>44583.375</v>
      </c>
      <c r="M187" s="6" t="str">
        <f t="shared" si="4"/>
        <v>2022-01-22 09:00</v>
      </c>
      <c r="N187" s="11"/>
      <c r="O187" s="11">
        <v>1</v>
      </c>
      <c r="P187">
        <v>253</v>
      </c>
      <c r="Q187" t="s">
        <v>550</v>
      </c>
      <c r="R187" t="s">
        <v>607</v>
      </c>
      <c r="S187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('193','2022-01-22 09:00','1','1754','','3','4','1','0','1','50','Dave Robinson','daverobinsontransport@hotmail.com','07593316744','The Grove, Bradwell, Milton Keynes, MK139AU.','2','12','0','0','2022-01-07','0');</v>
      </c>
    </row>
    <row r="188" spans="1:19" x14ac:dyDescent="0.2">
      <c r="A188" s="7" t="s">
        <v>494</v>
      </c>
      <c r="B188" s="11">
        <v>193</v>
      </c>
      <c r="C188" s="13">
        <v>4</v>
      </c>
      <c r="D188" s="11">
        <v>1</v>
      </c>
      <c r="E188" s="3">
        <v>50</v>
      </c>
      <c r="F188" s="34">
        <v>0</v>
      </c>
      <c r="G188" s="11">
        <v>1755</v>
      </c>
      <c r="H188" s="11">
        <v>12</v>
      </c>
      <c r="I188" s="11">
        <v>2</v>
      </c>
      <c r="J188" s="11" t="s">
        <v>395</v>
      </c>
      <c r="K188" s="14" t="s">
        <v>300</v>
      </c>
      <c r="L188" s="6">
        <v>44583.375</v>
      </c>
      <c r="M188" s="6" t="str">
        <f t="shared" si="4"/>
        <v>2022-01-22 09:00</v>
      </c>
      <c r="N188" s="11"/>
      <c r="O188" s="11">
        <v>1</v>
      </c>
      <c r="P188">
        <v>253</v>
      </c>
      <c r="Q188" t="s">
        <v>550</v>
      </c>
      <c r="R188" t="s">
        <v>607</v>
      </c>
      <c r="S188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('193','2022-01-22 09:00','1','1755','','3','4','1','0','1','50','Dave Robinson','daverobinsontransport@hotmail.com','07593316744','The Grove, Bradwell, Milton Keynes, MK139AU.','2','12','0','0','2022-01-07','0');</v>
      </c>
    </row>
    <row r="189" spans="1:19" x14ac:dyDescent="0.2">
      <c r="A189" s="7" t="s">
        <v>494</v>
      </c>
      <c r="B189" s="11">
        <v>193</v>
      </c>
      <c r="C189" s="13">
        <v>4</v>
      </c>
      <c r="D189" s="11">
        <v>1</v>
      </c>
      <c r="E189" s="3">
        <v>50</v>
      </c>
      <c r="F189" s="34">
        <v>0</v>
      </c>
      <c r="G189" s="11">
        <v>1756</v>
      </c>
      <c r="H189" s="11">
        <v>12</v>
      </c>
      <c r="I189" s="11">
        <v>2</v>
      </c>
      <c r="J189" s="11" t="s">
        <v>395</v>
      </c>
      <c r="K189" s="14" t="s">
        <v>300</v>
      </c>
      <c r="L189" s="6">
        <v>44583.375</v>
      </c>
      <c r="M189" s="6" t="str">
        <f t="shared" si="4"/>
        <v>2022-01-22 09:00</v>
      </c>
      <c r="N189" s="11"/>
      <c r="O189" s="11">
        <v>1</v>
      </c>
      <c r="P189">
        <v>253</v>
      </c>
      <c r="Q189" t="s">
        <v>550</v>
      </c>
      <c r="R189" t="s">
        <v>607</v>
      </c>
      <c r="S189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('193','2022-01-22 09:00','1','1756','','3','4','1','0','1','50','Dave Robinson','daverobinsontransport@hotmail.com','07593316744','The Grove, Bradwell, Milton Keynes, MK139AU.','2','12','0','0','2022-01-07','0');</v>
      </c>
    </row>
    <row r="190" spans="1:19" x14ac:dyDescent="0.2">
      <c r="A190" s="7" t="s">
        <v>494</v>
      </c>
      <c r="B190" s="11">
        <v>194</v>
      </c>
      <c r="C190" s="13">
        <v>4</v>
      </c>
      <c r="D190" s="11">
        <v>1</v>
      </c>
      <c r="E190" s="3">
        <v>50</v>
      </c>
      <c r="F190" s="34">
        <v>0</v>
      </c>
      <c r="G190" s="11">
        <v>1767</v>
      </c>
      <c r="H190" s="11">
        <v>12</v>
      </c>
      <c r="I190" s="11">
        <v>2</v>
      </c>
      <c r="J190" s="11" t="s">
        <v>397</v>
      </c>
      <c r="K190" s="14" t="s">
        <v>313</v>
      </c>
      <c r="L190" s="6">
        <v>44585.333333333336</v>
      </c>
      <c r="M190" s="6" t="str">
        <f t="shared" si="4"/>
        <v>2022-01-24 08:00</v>
      </c>
      <c r="N190" s="11"/>
      <c r="O190" s="11">
        <v>1</v>
      </c>
      <c r="P190">
        <v>256</v>
      </c>
      <c r="Q190" t="s">
        <v>551</v>
      </c>
      <c r="R190" t="s">
        <v>608</v>
      </c>
      <c r="S190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('194','2022-01-24 08:00','1','1767','','3','4','1','0','1','50','Alan Emslie','Alan.emslie@aechilled.co.uk','07850496949','CVME, Wilcox close, Aylesham ind est, Aylesham, CT33EP.','2','12','0','0','2022-01-07','0');</v>
      </c>
    </row>
    <row r="191" spans="1:19" x14ac:dyDescent="0.2">
      <c r="A191" s="7" t="s">
        <v>494</v>
      </c>
      <c r="B191" s="11">
        <v>194</v>
      </c>
      <c r="C191" s="13">
        <v>4</v>
      </c>
      <c r="D191" s="11">
        <v>1</v>
      </c>
      <c r="E191" s="3">
        <v>50</v>
      </c>
      <c r="F191" s="34">
        <v>0</v>
      </c>
      <c r="G191" s="11">
        <v>1765</v>
      </c>
      <c r="H191" s="11">
        <v>12</v>
      </c>
      <c r="I191" s="11">
        <v>2</v>
      </c>
      <c r="J191" s="11" t="s">
        <v>397</v>
      </c>
      <c r="K191" s="14" t="s">
        <v>313</v>
      </c>
      <c r="L191" s="6">
        <v>44585.333333333336</v>
      </c>
      <c r="M191" s="6" t="str">
        <f t="shared" si="4"/>
        <v>2022-01-24 08:00</v>
      </c>
      <c r="N191" s="11"/>
      <c r="O191" s="11">
        <v>1</v>
      </c>
      <c r="P191">
        <v>256</v>
      </c>
      <c r="Q191" t="s">
        <v>551</v>
      </c>
      <c r="R191" t="s">
        <v>608</v>
      </c>
      <c r="S191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('194','2022-01-24 08:00','1','1765','','3','4','1','0','1','50','Alan Emslie','Alan.emslie@aechilled.co.uk','07850496949','CVME, Wilcox close, Aylesham ind est, Aylesham, CT33EP.','2','12','0','0','2022-01-07','0');</v>
      </c>
    </row>
    <row r="192" spans="1:19" x14ac:dyDescent="0.2">
      <c r="A192" s="7" t="s">
        <v>494</v>
      </c>
      <c r="B192" s="11">
        <v>194</v>
      </c>
      <c r="C192" s="13">
        <v>4</v>
      </c>
      <c r="D192" s="11">
        <v>1</v>
      </c>
      <c r="E192" s="3">
        <v>50</v>
      </c>
      <c r="F192" s="34">
        <v>0</v>
      </c>
      <c r="G192" s="11">
        <v>1764</v>
      </c>
      <c r="H192" s="11">
        <v>12</v>
      </c>
      <c r="I192" s="11">
        <v>2</v>
      </c>
      <c r="J192" s="11" t="s">
        <v>397</v>
      </c>
      <c r="K192" s="14" t="s">
        <v>313</v>
      </c>
      <c r="L192" s="6">
        <v>44585.333333333336</v>
      </c>
      <c r="M192" s="6" t="str">
        <f t="shared" si="4"/>
        <v>2022-01-24 08:00</v>
      </c>
      <c r="N192" s="11"/>
      <c r="O192" s="11">
        <v>1</v>
      </c>
      <c r="P192">
        <v>256</v>
      </c>
      <c r="Q192" t="s">
        <v>551</v>
      </c>
      <c r="R192" t="s">
        <v>608</v>
      </c>
      <c r="S192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('194','2022-01-24 08:00','1','1764','','3','4','1','0','1','50','Alan Emslie','Alan.emslie@aechilled.co.uk','07850496949','CVME, Wilcox close, Aylesham ind est, Aylesham, CT33EP.','2','12','0','0','2022-01-07','0');</v>
      </c>
    </row>
    <row r="193" spans="1:19" x14ac:dyDescent="0.2">
      <c r="A193" s="7" t="s">
        <v>494</v>
      </c>
      <c r="B193" s="11">
        <v>194</v>
      </c>
      <c r="C193" s="13">
        <v>4</v>
      </c>
      <c r="D193" s="11">
        <v>1</v>
      </c>
      <c r="E193" s="3">
        <v>50</v>
      </c>
      <c r="F193" s="34">
        <v>0</v>
      </c>
      <c r="G193" s="11">
        <v>1766</v>
      </c>
      <c r="H193" s="11">
        <v>12</v>
      </c>
      <c r="I193" s="11">
        <v>2</v>
      </c>
      <c r="J193" s="11" t="s">
        <v>397</v>
      </c>
      <c r="K193" s="14" t="s">
        <v>313</v>
      </c>
      <c r="L193" s="6">
        <v>44585.333333333336</v>
      </c>
      <c r="M193" s="6" t="str">
        <f t="shared" si="4"/>
        <v>2022-01-24 08:00</v>
      </c>
      <c r="N193" s="11"/>
      <c r="O193" s="11">
        <v>1</v>
      </c>
      <c r="P193">
        <v>256</v>
      </c>
      <c r="Q193" t="s">
        <v>551</v>
      </c>
      <c r="R193" t="s">
        <v>608</v>
      </c>
      <c r="S193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('194','2022-01-24 08:00','1','1766','','3','4','1','0','1','50','Alan Emslie','Alan.emslie@aechilled.co.uk','07850496949','CVME, Wilcox close, Aylesham ind est, Aylesham, CT33EP.','2','12','0','0','2022-01-07','0');</v>
      </c>
    </row>
    <row r="194" spans="1:19" x14ac:dyDescent="0.2">
      <c r="A194" s="7" t="s">
        <v>494</v>
      </c>
      <c r="B194" s="11">
        <v>194</v>
      </c>
      <c r="C194" s="13">
        <v>4</v>
      </c>
      <c r="D194" s="11">
        <v>1</v>
      </c>
      <c r="E194" s="3">
        <v>50</v>
      </c>
      <c r="F194" s="34">
        <v>0</v>
      </c>
      <c r="G194" s="11">
        <v>1757</v>
      </c>
      <c r="H194" s="11">
        <v>12</v>
      </c>
      <c r="I194" s="11">
        <v>2</v>
      </c>
      <c r="J194" s="11" t="s">
        <v>397</v>
      </c>
      <c r="K194" s="14" t="s">
        <v>313</v>
      </c>
      <c r="L194" s="6">
        <v>44585.333333333336</v>
      </c>
      <c r="M194" s="6" t="str">
        <f t="shared" si="4"/>
        <v>2022-01-24 08:00</v>
      </c>
      <c r="N194" s="11"/>
      <c r="O194" s="11">
        <v>1</v>
      </c>
      <c r="P194">
        <v>256</v>
      </c>
      <c r="Q194" t="s">
        <v>551</v>
      </c>
      <c r="R194" t="s">
        <v>608</v>
      </c>
      <c r="S194" t="str">
        <f t="shared" si="5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('194','2022-01-24 08:00','1','1757','','3','4','1','0','1','50','Alan Emslie','Alan.emslie@aechilled.co.uk','07850496949','CVME, Wilcox close, Aylesham ind est, Aylesham, CT33EP.','2','12','0','0','2022-01-07','0');</v>
      </c>
    </row>
    <row r="195" spans="1:19" x14ac:dyDescent="0.2">
      <c r="A195" s="7" t="s">
        <v>492</v>
      </c>
      <c r="B195" s="33">
        <v>180</v>
      </c>
      <c r="C195" s="13">
        <v>4</v>
      </c>
      <c r="D195" s="11">
        <v>3</v>
      </c>
      <c r="E195" s="3">
        <v>30</v>
      </c>
      <c r="F195" s="34">
        <v>1650</v>
      </c>
      <c r="G195" s="34">
        <v>0</v>
      </c>
      <c r="H195" s="11">
        <v>12</v>
      </c>
      <c r="I195" s="11">
        <v>4</v>
      </c>
      <c r="J195" s="11" t="s">
        <v>348</v>
      </c>
      <c r="K195" s="14" t="s">
        <v>92</v>
      </c>
      <c r="L195" s="6">
        <v>44586.708333333336</v>
      </c>
      <c r="M195" s="6" t="str">
        <f t="shared" ref="M195:M207" si="6">TEXT(YEAR(L195) &amp;"-" &amp; MONTH(L195) &amp;"-" &amp; DAY(L195) &amp; " " &amp; HOUR(L195) &amp;":" &amp; MINUTE(L195),"YYYY-MM-DD HH:mm")</f>
        <v>2022-01-25 17:00</v>
      </c>
      <c r="N195" s="11"/>
      <c r="O195" s="11">
        <v>1</v>
      </c>
      <c r="P195">
        <v>236</v>
      </c>
      <c r="Q195" t="s">
        <v>513</v>
      </c>
      <c r="R195" t="s">
        <v>570</v>
      </c>
      <c r="S195" t="str">
        <f t="shared" ref="S195:S207" si="7">CONCATENATE($S$1, "VALUES ('",B195, "','",M195,"','",D195,"','", G195, "','",N195, "','", "3','",C195, "','","1','0','",O195,"','",E195,"','", Q195,"','", R195, "','", K195, "','", J195, "','",I195, "','",H195, "','0','0','",A195, "','" &amp;F195 &amp;"');")</f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('180','2022-01-25 17:00','3','0','','3','4','1','0','1','30','Greg Eoff','gregroff@hotmail.co.uk','07545315240','Unit E, 209 Manor Road, Erith, DA82AD.','4','12','0','0','2022-01-17','1650');</v>
      </c>
    </row>
    <row r="196" spans="1:19" x14ac:dyDescent="0.2">
      <c r="A196" s="7" t="s">
        <v>492</v>
      </c>
      <c r="B196" s="33">
        <v>180</v>
      </c>
      <c r="C196" s="13">
        <v>4</v>
      </c>
      <c r="D196" s="11">
        <v>3</v>
      </c>
      <c r="E196" s="3">
        <v>30</v>
      </c>
      <c r="F196" s="34">
        <v>1652</v>
      </c>
      <c r="G196" s="34">
        <v>0</v>
      </c>
      <c r="H196" s="11">
        <v>12</v>
      </c>
      <c r="I196" s="11">
        <v>4</v>
      </c>
      <c r="J196" s="11" t="s">
        <v>348</v>
      </c>
      <c r="K196" s="14" t="s">
        <v>92</v>
      </c>
      <c r="L196" s="6">
        <v>44586.708333333336</v>
      </c>
      <c r="M196" s="6" t="str">
        <f t="shared" si="6"/>
        <v>2022-01-25 17:00</v>
      </c>
      <c r="N196" s="11"/>
      <c r="O196" s="11">
        <v>1</v>
      </c>
      <c r="P196">
        <v>236</v>
      </c>
      <c r="Q196" t="s">
        <v>513</v>
      </c>
      <c r="R196" t="s">
        <v>570</v>
      </c>
      <c r="S196" t="str">
        <f t="shared" si="7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('180','2022-01-25 17:00','3','0','','3','4','1','0','1','30','Greg Eoff','gregroff@hotmail.co.uk','07545315240','Unit E, 209 Manor Road, Erith, DA82AD.','4','12','0','0','2022-01-17','1652');</v>
      </c>
    </row>
    <row r="197" spans="1:19" x14ac:dyDescent="0.2">
      <c r="A197" s="7" t="s">
        <v>492</v>
      </c>
      <c r="B197" s="33">
        <v>180</v>
      </c>
      <c r="C197" s="13">
        <v>4</v>
      </c>
      <c r="D197" s="11">
        <v>1</v>
      </c>
      <c r="E197" s="3">
        <v>50</v>
      </c>
      <c r="F197" s="34">
        <v>0</v>
      </c>
      <c r="G197" s="11">
        <v>1770</v>
      </c>
      <c r="H197" s="11">
        <v>12</v>
      </c>
      <c r="I197" s="11">
        <v>4</v>
      </c>
      <c r="J197" s="11" t="s">
        <v>348</v>
      </c>
      <c r="K197" s="14" t="s">
        <v>92</v>
      </c>
      <c r="L197" s="6">
        <v>44586.708333333336</v>
      </c>
      <c r="M197" s="6" t="str">
        <f t="shared" si="6"/>
        <v>2022-01-25 17:00</v>
      </c>
      <c r="N197" s="11"/>
      <c r="O197" s="11">
        <v>1</v>
      </c>
      <c r="P197">
        <v>236</v>
      </c>
      <c r="Q197" t="s">
        <v>513</v>
      </c>
      <c r="R197" t="s">
        <v>570</v>
      </c>
      <c r="S197" t="str">
        <f t="shared" si="7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('180','2022-01-25 17:00','1','1770','','3','4','1','0','1','50','Greg Eoff','gregroff@hotmail.co.uk','07545315240','Unit E, 209 Manor Road, Erith, DA82AD.','4','12','0','0','2022-01-17','0');</v>
      </c>
    </row>
    <row r="198" spans="1:19" x14ac:dyDescent="0.2">
      <c r="A198" s="7" t="s">
        <v>492</v>
      </c>
      <c r="B198" s="33">
        <v>180</v>
      </c>
      <c r="C198" s="13">
        <v>4</v>
      </c>
      <c r="D198" s="11">
        <v>1</v>
      </c>
      <c r="E198" s="3">
        <v>50</v>
      </c>
      <c r="F198" s="34">
        <v>0</v>
      </c>
      <c r="G198" s="11">
        <v>1771</v>
      </c>
      <c r="H198" s="11">
        <v>12</v>
      </c>
      <c r="I198" s="11">
        <v>4</v>
      </c>
      <c r="J198" s="11" t="s">
        <v>348</v>
      </c>
      <c r="K198" s="14" t="s">
        <v>92</v>
      </c>
      <c r="L198" s="6">
        <v>44586.708333333336</v>
      </c>
      <c r="M198" s="6" t="str">
        <f t="shared" si="6"/>
        <v>2022-01-25 17:00</v>
      </c>
      <c r="N198" s="11"/>
      <c r="O198" s="11">
        <v>1</v>
      </c>
      <c r="P198">
        <v>236</v>
      </c>
      <c r="Q198" t="s">
        <v>513</v>
      </c>
      <c r="R198" t="s">
        <v>570</v>
      </c>
      <c r="S198" t="str">
        <f t="shared" si="7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('180','2022-01-25 17:00','1','1771','','3','4','1','0','1','50','Greg Eoff','gregroff@hotmail.co.uk','07545315240','Unit E, 209 Manor Road, Erith, DA82AD.','4','12','0','0','2022-01-17','0');</v>
      </c>
    </row>
    <row r="199" spans="1:19" x14ac:dyDescent="0.2">
      <c r="A199" s="22" t="s">
        <v>480</v>
      </c>
      <c r="B199" s="17">
        <v>3</v>
      </c>
      <c r="C199" s="13">
        <v>5</v>
      </c>
      <c r="D199" s="11">
        <v>2</v>
      </c>
      <c r="E199" s="3">
        <v>50</v>
      </c>
      <c r="F199" s="34">
        <v>0</v>
      </c>
      <c r="G199" s="17">
        <v>37</v>
      </c>
      <c r="H199" s="11">
        <v>13</v>
      </c>
      <c r="I199" s="11">
        <v>2</v>
      </c>
      <c r="J199" s="11" t="s">
        <v>398</v>
      </c>
      <c r="K199" s="24" t="s">
        <v>320</v>
      </c>
      <c r="L199" s="8">
        <v>44587.604166666664</v>
      </c>
      <c r="M199" s="6" t="str">
        <f t="shared" si="6"/>
        <v>2022-01-26 14:30</v>
      </c>
      <c r="N199" s="17" t="s">
        <v>321</v>
      </c>
      <c r="O199" s="11">
        <v>1</v>
      </c>
      <c r="P199">
        <v>1</v>
      </c>
      <c r="Q199" t="s">
        <v>552</v>
      </c>
      <c r="R199" t="s">
        <v>609</v>
      </c>
      <c r="S199" t="str">
        <f t="shared" si="7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('3','2022-01-26 14:30','2','37','Wire cut - chargeable.','3','5','1','0','1','50','Abdul Hanslod','1stcallcarhire@gmail.com','07946120098','152 St Helens Rd, Bolton, BL33PL.','2','13','0','0','2021-12-14','0');</v>
      </c>
    </row>
    <row r="200" spans="1:19" x14ac:dyDescent="0.2">
      <c r="A200" s="7" t="s">
        <v>495</v>
      </c>
      <c r="B200" s="11">
        <v>109</v>
      </c>
      <c r="C200" s="13">
        <v>4</v>
      </c>
      <c r="D200" s="11">
        <v>3</v>
      </c>
      <c r="E200" s="3">
        <v>30</v>
      </c>
      <c r="F200" s="34">
        <v>880</v>
      </c>
      <c r="G200" s="34">
        <v>0</v>
      </c>
      <c r="H200" s="11">
        <v>13</v>
      </c>
      <c r="I200" s="11">
        <v>4</v>
      </c>
      <c r="J200" s="11" t="s">
        <v>399</v>
      </c>
      <c r="K200" s="14" t="s">
        <v>322</v>
      </c>
      <c r="L200" s="6">
        <v>44587.666666666664</v>
      </c>
      <c r="M200" s="6" t="str">
        <f t="shared" si="6"/>
        <v>2022-01-26 16:00</v>
      </c>
      <c r="N200" s="11"/>
      <c r="O200" s="11">
        <v>1</v>
      </c>
      <c r="P200">
        <v>145</v>
      </c>
      <c r="Q200" t="s">
        <v>553</v>
      </c>
      <c r="R200" t="s">
        <v>610</v>
      </c>
      <c r="S200" t="str">
        <f t="shared" si="7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('109','2022-01-26 16:00','3','0','','3','4','1','0','1','30','Rob Wright','rlhlogistics@gmail.com','07756394398 ','DPD depot, Howley Park Road East, Morley, LS27OFU.','4','13','0','0','2022-01-24','880');</v>
      </c>
    </row>
    <row r="201" spans="1:19" x14ac:dyDescent="0.2">
      <c r="A201" s="7" t="s">
        <v>495</v>
      </c>
      <c r="B201" s="11">
        <v>109</v>
      </c>
      <c r="C201" s="13">
        <v>4</v>
      </c>
      <c r="D201" s="11">
        <v>1</v>
      </c>
      <c r="E201" s="3">
        <v>50</v>
      </c>
      <c r="F201" s="34">
        <v>0</v>
      </c>
      <c r="G201" s="11">
        <v>1772</v>
      </c>
      <c r="H201" s="11">
        <v>13</v>
      </c>
      <c r="I201" s="11">
        <v>4</v>
      </c>
      <c r="J201" s="11" t="s">
        <v>399</v>
      </c>
      <c r="K201" s="14" t="s">
        <v>322</v>
      </c>
      <c r="L201" s="6">
        <v>44587.666666666664</v>
      </c>
      <c r="M201" s="6" t="str">
        <f t="shared" si="6"/>
        <v>2022-01-26 16:00</v>
      </c>
      <c r="N201" s="11"/>
      <c r="O201" s="11">
        <v>1</v>
      </c>
      <c r="P201">
        <v>145</v>
      </c>
      <c r="Q201" t="s">
        <v>553</v>
      </c>
      <c r="R201" t="s">
        <v>610</v>
      </c>
      <c r="S201" t="str">
        <f t="shared" si="7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('109','2022-01-26 16:00','1','1772','','3','4','1','0','1','50','Rob Wright','rlhlogistics@gmail.com','07756394398 ','DPD depot, Howley Park Road East, Morley, LS27OFU.','4','13','0','0','2022-01-24','0');</v>
      </c>
    </row>
    <row r="202" spans="1:19" x14ac:dyDescent="0.2">
      <c r="A202" s="7" t="s">
        <v>496</v>
      </c>
      <c r="B202" s="11">
        <v>196</v>
      </c>
      <c r="C202" s="13">
        <v>4</v>
      </c>
      <c r="D202" s="11">
        <v>1</v>
      </c>
      <c r="E202" s="3">
        <v>50</v>
      </c>
      <c r="F202" s="34">
        <v>0</v>
      </c>
      <c r="G202" s="11">
        <v>1773</v>
      </c>
      <c r="H202" s="11">
        <v>12</v>
      </c>
      <c r="I202" s="11">
        <v>2</v>
      </c>
      <c r="J202" s="30" t="s">
        <v>400</v>
      </c>
      <c r="K202" s="14" t="s">
        <v>325</v>
      </c>
      <c r="L202" s="6">
        <v>44587.729166666664</v>
      </c>
      <c r="M202" s="6" t="str">
        <f t="shared" si="6"/>
        <v>2022-01-26 17:30</v>
      </c>
      <c r="N202" s="11"/>
      <c r="O202" s="11">
        <v>1</v>
      </c>
      <c r="P202">
        <v>258</v>
      </c>
      <c r="Q202" t="s">
        <v>554</v>
      </c>
      <c r="R202" t="s">
        <v>611</v>
      </c>
      <c r="S202" t="str">
        <f t="shared" si="7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('196','2022-01-26 17:30','1','1773','','3','4','1','0','1','50','Yulian Antov','markswayservices@gmail.com','07542476754','69 Wallis Place, Hart str, Maidstone, ME168FB.','2','12','0','0','2022-01-10','0');</v>
      </c>
    </row>
    <row r="203" spans="1:19" x14ac:dyDescent="0.2">
      <c r="A203" s="7" t="s">
        <v>497</v>
      </c>
      <c r="B203" s="11">
        <v>140</v>
      </c>
      <c r="C203" s="13">
        <v>4</v>
      </c>
      <c r="D203" s="11">
        <v>2</v>
      </c>
      <c r="E203" s="3">
        <v>50</v>
      </c>
      <c r="F203" s="34">
        <v>0</v>
      </c>
      <c r="G203" s="11">
        <v>1464</v>
      </c>
      <c r="H203" s="11">
        <v>13</v>
      </c>
      <c r="I203" s="11">
        <v>2</v>
      </c>
      <c r="J203" s="11" t="s">
        <v>401</v>
      </c>
      <c r="K203" s="14" t="s">
        <v>327</v>
      </c>
      <c r="L203" s="6">
        <v>44587.75</v>
      </c>
      <c r="M203" s="6" t="str">
        <f t="shared" si="6"/>
        <v>2022-01-26 18:00</v>
      </c>
      <c r="N203" s="11"/>
      <c r="O203" s="11">
        <v>1</v>
      </c>
      <c r="P203">
        <v>31</v>
      </c>
      <c r="Q203" t="s">
        <v>515</v>
      </c>
      <c r="R203" t="s">
        <v>572</v>
      </c>
      <c r="S203" t="str">
        <f t="shared" si="7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('140','2022-01-26 18:00','2','1464','','3','4','1','0','1','50','Ryan Whitcut','ryan@whitcut.co.uk','07572455877','ANVSJ c/o Whitcut, 8 Hellaby Lane, Rotherham, S668HN.','2','13','0','0','2022-01-12','0');</v>
      </c>
    </row>
    <row r="204" spans="1:19" x14ac:dyDescent="0.2">
      <c r="A204" s="7" t="s">
        <v>498</v>
      </c>
      <c r="B204" s="11">
        <v>59</v>
      </c>
      <c r="C204" s="13">
        <v>5</v>
      </c>
      <c r="D204" s="11">
        <v>3</v>
      </c>
      <c r="E204" s="3">
        <v>30</v>
      </c>
      <c r="F204" s="34">
        <v>1592</v>
      </c>
      <c r="G204" s="34">
        <v>0</v>
      </c>
      <c r="H204" s="11">
        <v>12</v>
      </c>
      <c r="I204" s="11">
        <v>4</v>
      </c>
      <c r="J204" s="11" t="s">
        <v>365</v>
      </c>
      <c r="K204" s="14" t="s">
        <v>19</v>
      </c>
      <c r="L204" s="6">
        <v>44588.5</v>
      </c>
      <c r="M204" s="6" t="str">
        <f t="shared" si="6"/>
        <v>2022-01-27 12:00</v>
      </c>
      <c r="N204" s="11"/>
      <c r="O204" s="11">
        <v>1</v>
      </c>
      <c r="P204">
        <v>91</v>
      </c>
      <c r="Q204" t="s">
        <v>500</v>
      </c>
      <c r="R204" t="s">
        <v>557</v>
      </c>
      <c r="S204" t="str">
        <f t="shared" si="7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('59','2022-01-27 12:00','3','0','','3','5','1','0','1','30','Marc Goldin','info@pandjtransport.co.uk','07399338288','20 Vickers Dr N, Weybridge, KT130YU.','4','12','0','0','2022-01-25','1592');</v>
      </c>
    </row>
    <row r="205" spans="1:19" x14ac:dyDescent="0.2">
      <c r="A205" s="7" t="s">
        <v>498</v>
      </c>
      <c r="B205" s="11">
        <v>59</v>
      </c>
      <c r="C205" s="13">
        <v>5</v>
      </c>
      <c r="D205" s="11">
        <v>1</v>
      </c>
      <c r="E205" s="3">
        <v>55</v>
      </c>
      <c r="F205" s="34">
        <v>0</v>
      </c>
      <c r="G205" s="11">
        <v>1786</v>
      </c>
      <c r="H205" s="11">
        <v>12</v>
      </c>
      <c r="I205" s="11">
        <v>2</v>
      </c>
      <c r="J205" s="11" t="s">
        <v>365</v>
      </c>
      <c r="K205" s="14" t="s">
        <v>19</v>
      </c>
      <c r="L205" s="6">
        <v>44588.5</v>
      </c>
      <c r="M205" s="6" t="str">
        <f t="shared" si="6"/>
        <v>2022-01-27 12:00</v>
      </c>
      <c r="N205" s="11"/>
      <c r="O205" s="11">
        <v>1</v>
      </c>
      <c r="P205">
        <v>91</v>
      </c>
      <c r="Q205" t="s">
        <v>500</v>
      </c>
      <c r="R205" t="s">
        <v>557</v>
      </c>
      <c r="S205" t="str">
        <f t="shared" si="7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('59','2022-01-27 12:00','1','1786','','3','5','1','0','1','55','Marc Goldin','info@pandjtransport.co.uk','07399338288','20 Vickers Dr N, Weybridge, KT130YU.','2','12','0','0','2022-01-25','0');</v>
      </c>
    </row>
    <row r="206" spans="1:19" x14ac:dyDescent="0.2">
      <c r="A206" s="7" t="s">
        <v>498</v>
      </c>
      <c r="B206" s="11">
        <v>59</v>
      </c>
      <c r="C206" s="13">
        <v>5</v>
      </c>
      <c r="D206" s="11">
        <v>1</v>
      </c>
      <c r="E206" s="3">
        <v>55</v>
      </c>
      <c r="F206" s="34">
        <v>0</v>
      </c>
      <c r="G206" s="11">
        <v>1787</v>
      </c>
      <c r="H206" s="11">
        <v>12</v>
      </c>
      <c r="I206" s="11">
        <v>2</v>
      </c>
      <c r="J206" s="11" t="s">
        <v>365</v>
      </c>
      <c r="K206" s="14" t="s">
        <v>19</v>
      </c>
      <c r="L206" s="6">
        <v>44588.5</v>
      </c>
      <c r="M206" s="6" t="str">
        <f t="shared" si="6"/>
        <v>2022-01-27 12:00</v>
      </c>
      <c r="N206" s="11"/>
      <c r="O206" s="11">
        <v>1</v>
      </c>
      <c r="P206">
        <v>91</v>
      </c>
      <c r="Q206" t="s">
        <v>500</v>
      </c>
      <c r="R206" t="s">
        <v>557</v>
      </c>
      <c r="S206" t="str">
        <f t="shared" si="7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('59','2022-01-27 12:00','1','1787','','3','5','1','0','1','55','Marc Goldin','info@pandjtransport.co.uk','07399338288','20 Vickers Dr N, Weybridge, KT130YU.','2','12','0','0','2022-01-25','0');</v>
      </c>
    </row>
    <row r="207" spans="1:19" x14ac:dyDescent="0.2">
      <c r="A207" s="7" t="s">
        <v>498</v>
      </c>
      <c r="B207" s="11">
        <v>59</v>
      </c>
      <c r="C207" s="13">
        <v>5</v>
      </c>
      <c r="D207" s="11">
        <v>1</v>
      </c>
      <c r="E207" s="3">
        <v>55</v>
      </c>
      <c r="F207" s="34">
        <v>0</v>
      </c>
      <c r="G207" s="11">
        <v>1785</v>
      </c>
      <c r="H207" s="11">
        <v>12</v>
      </c>
      <c r="I207" s="11">
        <v>4</v>
      </c>
      <c r="J207" s="11" t="s">
        <v>365</v>
      </c>
      <c r="K207" s="14" t="s">
        <v>19</v>
      </c>
      <c r="L207" s="6">
        <v>44588.5</v>
      </c>
      <c r="M207" s="6" t="str">
        <f t="shared" si="6"/>
        <v>2022-01-27 12:00</v>
      </c>
      <c r="N207" s="11"/>
      <c r="O207" s="11">
        <v>1</v>
      </c>
      <c r="P207">
        <v>91</v>
      </c>
      <c r="Q207" t="s">
        <v>500</v>
      </c>
      <c r="R207" t="s">
        <v>557</v>
      </c>
      <c r="S207" t="str">
        <f t="shared" si="7"/>
        <v>INSERT INTO tblJobs (ownerID, date, jobType, VRN, notes, status, cameraTypeID, quantity, otherKitFlag, priorityIsUrgent, JobRate, bookingContact, bookingEmail, BookingTelephone, bookingAddress, equipmentLocationID, engineerID, jobCompleteFlag, TDHSignOff, dateAdded, oldVRN)VALUES ('59','2022-01-27 12:00','1','1785','','3','5','1','0','1','55','Marc Goldin','info@pandjtransport.co.uk','07399338288','20 Vickers Dr N, Weybridge, KT130YU.','4','12','0','0','2022-01-25','0');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 (Complete)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Lee Stevens</cp:lastModifiedBy>
  <dcterms:created xsi:type="dcterms:W3CDTF">2022-01-27T16:07:00Z</dcterms:created>
  <dcterms:modified xsi:type="dcterms:W3CDTF">2022-02-01T09:58:47Z</dcterms:modified>
</cp:coreProperties>
</file>