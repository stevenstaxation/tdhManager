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Volume_1/3 - Development/Web_Development/Dev Server/MDTViewer/documents/"/>
    </mc:Choice>
  </mc:AlternateContent>
  <xr:revisionPtr revIDLastSave="0" documentId="13_ncr:1_{E35364B7-6A92-A140-8455-3E1C76FF3DBC}" xr6:coauthVersionLast="46" xr6:coauthVersionMax="46" xr10:uidLastSave="{00000000-0000-0000-0000-000000000000}"/>
  <bookViews>
    <workbookView xWindow="120" yWindow="500" windowWidth="17200" windowHeight="20500" xr2:uid="{2DFABD5B-7BF5-FB48-871A-C90E2B12FA86}"/>
  </bookViews>
  <sheets>
    <sheet name="decodable.mdt" sheetId="1" r:id="rId1"/>
    <sheet name="Double Conve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2" l="1"/>
  <c r="C2" i="2"/>
  <c r="I2" i="2"/>
  <c r="H2" i="2"/>
  <c r="G2" i="2"/>
  <c r="F2" i="2"/>
  <c r="E2" i="2"/>
  <c r="D2" i="2"/>
  <c r="B2" i="2"/>
  <c r="E6" i="2" s="1"/>
  <c r="F6" i="2" s="1"/>
  <c r="E7" i="2" l="1"/>
  <c r="M51" i="2" s="1"/>
  <c r="N51" i="2" s="1"/>
  <c r="E5" i="2"/>
  <c r="M40" i="2" l="1"/>
  <c r="N40" i="2" s="1"/>
  <c r="M4" i="2"/>
  <c r="N4" i="2" s="1"/>
  <c r="M36" i="2"/>
  <c r="N36" i="2" s="1"/>
  <c r="M13" i="2"/>
  <c r="N13" i="2" s="1"/>
  <c r="M45" i="2"/>
  <c r="N45" i="2" s="1"/>
  <c r="M26" i="2"/>
  <c r="N26" i="2" s="1"/>
  <c r="M7" i="2"/>
  <c r="N7" i="2" s="1"/>
  <c r="M23" i="2"/>
  <c r="N23" i="2" s="1"/>
  <c r="M8" i="2"/>
  <c r="N8" i="2" s="1"/>
  <c r="M1" i="2"/>
  <c r="N1" i="2" s="1"/>
  <c r="M17" i="2"/>
  <c r="N17" i="2" s="1"/>
  <c r="M33" i="2"/>
  <c r="N33" i="2" s="1"/>
  <c r="M49" i="2"/>
  <c r="N49" i="2" s="1"/>
  <c r="M14" i="2"/>
  <c r="N14" i="2" s="1"/>
  <c r="M30" i="2"/>
  <c r="N30" i="2" s="1"/>
  <c r="M46" i="2"/>
  <c r="N46" i="2" s="1"/>
  <c r="M11" i="2"/>
  <c r="N11" i="2" s="1"/>
  <c r="M27" i="2"/>
  <c r="N27" i="2" s="1"/>
  <c r="M43" i="2"/>
  <c r="N43" i="2" s="1"/>
  <c r="M12" i="2"/>
  <c r="N12" i="2" s="1"/>
  <c r="M28" i="2"/>
  <c r="N28" i="2" s="1"/>
  <c r="M44" i="2"/>
  <c r="N44" i="2" s="1"/>
  <c r="M5" i="2"/>
  <c r="N5" i="2" s="1"/>
  <c r="M21" i="2"/>
  <c r="N21" i="2" s="1"/>
  <c r="M37" i="2"/>
  <c r="N37" i="2" s="1"/>
  <c r="M2" i="2"/>
  <c r="N2" i="2" s="1"/>
  <c r="M18" i="2"/>
  <c r="N18" i="2" s="1"/>
  <c r="M34" i="2"/>
  <c r="N34" i="2" s="1"/>
  <c r="M50" i="2"/>
  <c r="N50" i="2" s="1"/>
  <c r="M15" i="2"/>
  <c r="N15" i="2" s="1"/>
  <c r="M31" i="2"/>
  <c r="N31" i="2" s="1"/>
  <c r="M47" i="2"/>
  <c r="N47" i="2" s="1"/>
  <c r="M20" i="2"/>
  <c r="N20" i="2" s="1"/>
  <c r="M52" i="2"/>
  <c r="N52" i="2" s="1"/>
  <c r="M29" i="2"/>
  <c r="N29" i="2" s="1"/>
  <c r="M10" i="2"/>
  <c r="N10" i="2" s="1"/>
  <c r="M42" i="2"/>
  <c r="N42" i="2" s="1"/>
  <c r="M39" i="2"/>
  <c r="N39" i="2" s="1"/>
  <c r="M24" i="2"/>
  <c r="N24" i="2" s="1"/>
  <c r="M16" i="2"/>
  <c r="N16" i="2" s="1"/>
  <c r="M32" i="2"/>
  <c r="N32" i="2" s="1"/>
  <c r="M48" i="2"/>
  <c r="N48" i="2" s="1"/>
  <c r="M9" i="2"/>
  <c r="N9" i="2" s="1"/>
  <c r="M25" i="2"/>
  <c r="N25" i="2" s="1"/>
  <c r="M41" i="2"/>
  <c r="N41" i="2" s="1"/>
  <c r="M6" i="2"/>
  <c r="N6" i="2" s="1"/>
  <c r="M22" i="2"/>
  <c r="N22" i="2" s="1"/>
  <c r="M38" i="2"/>
  <c r="N38" i="2" s="1"/>
  <c r="M3" i="2"/>
  <c r="N3" i="2" s="1"/>
  <c r="J7" i="2" s="1"/>
  <c r="C10" i="2" s="1"/>
  <c r="M19" i="2"/>
  <c r="N19" i="2" s="1"/>
  <c r="M35" i="2"/>
  <c r="N35" i="2" s="1"/>
</calcChain>
</file>

<file path=xl/sharedStrings.xml><?xml version="1.0" encoding="utf-8"?>
<sst xmlns="http://schemas.openxmlformats.org/spreadsheetml/2006/main" count="771" uniqueCount="358">
  <si>
    <t>ADDRESS</t>
  </si>
  <si>
    <t>DATATYPE</t>
  </si>
  <si>
    <t>DATA</t>
  </si>
  <si>
    <t>PARSED MEANING</t>
  </si>
  <si>
    <t>0x00000000</t>
  </si>
  <si>
    <t>LONG</t>
  </si>
  <si>
    <t>AA 00 EF F2</t>
  </si>
  <si>
    <t>[StructID]</t>
  </si>
  <si>
    <t xml:space="preserve">Identifier for MDT, use this to determine file signature </t>
  </si>
  <si>
    <t>0x00000004</t>
  </si>
  <si>
    <t>BYTE</t>
  </si>
  <si>
    <t>0x00000005</t>
  </si>
  <si>
    <t>Reserved</t>
  </si>
  <si>
    <t>WORD</t>
  </si>
  <si>
    <t>0x00000006</t>
  </si>
  <si>
    <t>00 00</t>
  </si>
  <si>
    <t>00</t>
  </si>
  <si>
    <t>02</t>
  </si>
  <si>
    <t>Version</t>
  </si>
  <si>
    <t>[FileNameInfo]</t>
  </si>
  <si>
    <t>0x00000008</t>
  </si>
  <si>
    <t>0x0000000C</t>
  </si>
  <si>
    <t>0x0000000E</t>
  </si>
  <si>
    <t>0x0000000F</t>
  </si>
  <si>
    <t>0x00000010</t>
  </si>
  <si>
    <t>0x00000014</t>
  </si>
  <si>
    <t>0x00000016</t>
  </si>
  <si>
    <t>0x0000001A</t>
  </si>
  <si>
    <t>Timezone offset from UTC in minutes</t>
  </si>
  <si>
    <t>Daylight Savings - 1 = on, 0 = off</t>
  </si>
  <si>
    <t>Sequence</t>
  </si>
  <si>
    <t>CHAR x 3</t>
  </si>
  <si>
    <t>0x00000019</t>
  </si>
  <si>
    <t>File extension, e.g. chars("MDT")</t>
  </si>
  <si>
    <t>67 D9 FD 5F</t>
  </si>
  <si>
    <t>MDT File Disassembly - file format is Little Endian, this can be confirmed by file signature</t>
  </si>
  <si>
    <t>00 00 00 00</t>
  </si>
  <si>
    <t>6D 64 74</t>
  </si>
  <si>
    <t>Time in seconds since 01/01/1970 00:00:00, 0x5FFDD967 = 1,610,471,783 or 12/01/2021 17:16:23</t>
  </si>
  <si>
    <t>FILEHEADER</t>
  </si>
  <si>
    <t>0x0000001C</t>
  </si>
  <si>
    <t>0x0000001D</t>
  </si>
  <si>
    <t>0x0000001E</t>
  </si>
  <si>
    <t>0x00000020</t>
  </si>
  <si>
    <t>File Attribute 1</t>
  </si>
  <si>
    <t>File Attribute 2</t>
  </si>
  <si>
    <t>MDT HEADER</t>
  </si>
  <si>
    <t>0x00000024</t>
  </si>
  <si>
    <t>AA 00 EF E2</t>
  </si>
  <si>
    <t>Identifier for 'MDT Header'</t>
  </si>
  <si>
    <t>0x00000028</t>
  </si>
  <si>
    <t>0x00000029</t>
  </si>
  <si>
    <t>0x0000002A</t>
  </si>
  <si>
    <t>0x0000002C</t>
  </si>
  <si>
    <t>Password</t>
  </si>
  <si>
    <t>0x00000030</t>
  </si>
  <si>
    <t>WCHAR x 60</t>
  </si>
  <si>
    <t>57 00 55 00 36 00 36 00 41 00 5A 00 56 00 00 00 00 00 00 00 00 00 00 00 00 00 00 00 00 00  00 00 00 00 00 00 00 00 00 00 00 00 00 00 00 00 00 00 00 00 00 00 00 00 00 00 00 00 00 00</t>
  </si>
  <si>
    <t>0x0000006C</t>
  </si>
  <si>
    <t>00 00 00 00 00 00 00 00 00 00 00 00 00 00 00 00 00 00 00 00 00 00 00 00 00 00 00 00 00 00 00 00 00 00 00 00 00 00 00 00 00 00 00 00 00 00 00 00 00 00 00 00 00 00 00 00 00 00 00 00</t>
  </si>
  <si>
    <t>0x000000A8</t>
  </si>
  <si>
    <t>04</t>
  </si>
  <si>
    <t>0x000000A9</t>
  </si>
  <si>
    <t>Vehicle ID upto 30 Unicode characters.  WU66 AZV</t>
  </si>
  <si>
    <t>Driver ID upto 30 Unicode characters.  Blank</t>
  </si>
  <si>
    <t>[Channel Parameters]</t>
  </si>
  <si>
    <t>0x000000AA</t>
  </si>
  <si>
    <t>0x000000AC</t>
  </si>
  <si>
    <t>0x000000AE</t>
  </si>
  <si>
    <t>0x000000B2</t>
  </si>
  <si>
    <t>0x000000B3</t>
  </si>
  <si>
    <t>0x000000B4</t>
  </si>
  <si>
    <t>0x000000B5</t>
  </si>
  <si>
    <t>00 05</t>
  </si>
  <si>
    <t>Width = 0x0500 = 1,280</t>
  </si>
  <si>
    <t>D0 02</t>
  </si>
  <si>
    <t>Height = 0x02D0 = 720</t>
  </si>
  <si>
    <t>00 00 00 80</t>
  </si>
  <si>
    <t>0C</t>
  </si>
  <si>
    <t>05</t>
  </si>
  <si>
    <t>01</t>
  </si>
  <si>
    <t>Recording On = 1, Off = 0</t>
  </si>
  <si>
    <t>Frames per second = 12 fps</t>
  </si>
  <si>
    <r>
      <t>Bitrate = 0x80000000 = 2,147,483,648 - divide by 1024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= 2,048Mbps = 2 Gbps</t>
    </r>
  </si>
  <si>
    <t>0x000000B6</t>
  </si>
  <si>
    <t>0x000000B8</t>
  </si>
  <si>
    <t>Number of Channels = &amp;0x000000A8</t>
  </si>
  <si>
    <t>CHANNEL 1</t>
  </si>
  <si>
    <t>CHANNEL 2</t>
  </si>
  <si>
    <t>CHANNEL 3</t>
  </si>
  <si>
    <t>CHANNEL 4</t>
  </si>
  <si>
    <t>0x000000BA</t>
  </si>
  <si>
    <t>0x000000C0</t>
  </si>
  <si>
    <t>0x000000C1</t>
  </si>
  <si>
    <t>0x000000C2</t>
  </si>
  <si>
    <t>0x000000C4</t>
  </si>
  <si>
    <t>0x000000C6</t>
  </si>
  <si>
    <t>0x000000CC</t>
  </si>
  <si>
    <t>0x000000CD</t>
  </si>
  <si>
    <t>0x000000CE</t>
  </si>
  <si>
    <t>0x000000D0</t>
  </si>
  <si>
    <t>0x000000D2</t>
  </si>
  <si>
    <t>0x000000D8</t>
  </si>
  <si>
    <t>0x000000D9</t>
  </si>
  <si>
    <t>0x000000DA</t>
  </si>
  <si>
    <t>0x000000BE</t>
  </si>
  <si>
    <t>0x000000BF</t>
  </si>
  <si>
    <t>0x000000CA</t>
  </si>
  <si>
    <t>0x000000CB</t>
  </si>
  <si>
    <t>0x000000D6</t>
  </si>
  <si>
    <t>0x000000D7</t>
  </si>
  <si>
    <t>Width = 0x02D0 = 720</t>
  </si>
  <si>
    <t>40 02</t>
  </si>
  <si>
    <t>Height = 0x0240 = 576</t>
  </si>
  <si>
    <t>0x000000DC</t>
  </si>
  <si>
    <t>0x000000DE</t>
  </si>
  <si>
    <t>0x0000010E</t>
  </si>
  <si>
    <t>AA 00 EF E1</t>
  </si>
  <si>
    <t>Codec Type 5 = H.264, 4 = G Sensor, 1 = Video</t>
  </si>
  <si>
    <t>FRAMEINFO</t>
  </si>
  <si>
    <t>Identifier for FrameInfo</t>
  </si>
  <si>
    <t>0x00000112</t>
  </si>
  <si>
    <t>0x00000114</t>
  </si>
  <si>
    <t>0x00000113</t>
  </si>
  <si>
    <t>[StreamInfo]</t>
  </si>
  <si>
    <t>0x00000116</t>
  </si>
  <si>
    <t>Video = 1, Audio = 2, ExtData = 3, Gsensor = 4, Gyro = 5</t>
  </si>
  <si>
    <t>07</t>
  </si>
  <si>
    <t>0x00000117</t>
  </si>
  <si>
    <t>83 01 00 00</t>
  </si>
  <si>
    <t>0x0000011B</t>
  </si>
  <si>
    <t>00 05 00 00</t>
  </si>
  <si>
    <t>Stream Data Size = 0x500 = 1,280</t>
  </si>
  <si>
    <t>Stream Data Offset = 0x0183</t>
  </si>
  <si>
    <t>0x0000011F</t>
  </si>
  <si>
    <t>UNIX time = 12/01/2021 17:16:23</t>
  </si>
  <si>
    <t>0x00000123</t>
  </si>
  <si>
    <t>0x00000125</t>
  </si>
  <si>
    <t>0x00000126</t>
  </si>
  <si>
    <t>0x00000127</t>
  </si>
  <si>
    <t>0x00000129</t>
  </si>
  <si>
    <t>0x0000012D</t>
  </si>
  <si>
    <t>UTC</t>
  </si>
  <si>
    <t>Millisecond Time = 0</t>
  </si>
  <si>
    <t>Sequence Active</t>
  </si>
  <si>
    <t>Sequence Save</t>
  </si>
  <si>
    <t>[AVInfo]</t>
  </si>
  <si>
    <t>Channel Numbers, e.g. 1, 2, 4 or 8 cameras</t>
  </si>
  <si>
    <t>Daylight Saving is off</t>
  </si>
  <si>
    <t>Unknown block of 0x30 bytes</t>
  </si>
  <si>
    <t>00 00 00 00 00 00 00 00 00 00 00 00 00 00 00 00 00 00 00 00 00 00 00 00 00 00 00 00 00 00 00 00 00 00 00 00 00 00 00 00 00 00 00 00 00 00 00 00</t>
  </si>
  <si>
    <t>[IGNORE]</t>
  </si>
  <si>
    <t>0x00000183</t>
  </si>
  <si>
    <t>[StreamDataOffset]</t>
  </si>
  <si>
    <t>CHAR x 64</t>
  </si>
  <si>
    <t>43 41 4D 31 00 00 00 00 00 00 00 00 00 00 00 00 00 00 00 00 00 00 00 00 00 00 00 00 00 00 00 00 00 00 00 00 00 00 00 00 00 00 00 00 00 00 00 00 00 00 00 00 00 00 00 00 00 00 00 00 00 00 00 00</t>
  </si>
  <si>
    <t>Channel 1 camera name = CAM1</t>
  </si>
  <si>
    <t>0x000001C3</t>
  </si>
  <si>
    <t>0x00000203</t>
  </si>
  <si>
    <t>0x00000243</t>
  </si>
  <si>
    <t>43 41 4D 32 00 00 00 00 00 00 00 00 00 00 00 00 00 00 00 00 00 00 00 00 00 00 00 00 00 00 00 00 00 00 00 00 00 00 00 00 00 00 00 00 00 00 00 00 00 00 00 00 00 00 00 00 00 00 00 00 00 00 00 00</t>
  </si>
  <si>
    <t>43 41 4D 33 00 00 00 00 00 00 00 00 00 00 00 00 00 00 00 00 00 00 00 00 00 00 00 00 00 00 00 00 00 00 00 00 00 00 00 00 00 00 00 00 00 00 00 00 00 00 00 00 00 00 00 00 00 00 00 00 00 00 00 00</t>
  </si>
  <si>
    <t>43 41 4D 34 00 00 00 00 00 00 00 00 00 00 00 00 00 00 00 00 00 00 00 00 00 00 00 00 00 00 00 00 00 00 00 00 00 00 00 00 00 00 00 00 00 00 00 00 00 00 00 00 00 00 00 00 00 00 00 00 00 00 00 00</t>
  </si>
  <si>
    <t>Channel 2 camera name = CAM2</t>
  </si>
  <si>
    <t>Channel 3 camera name = CAM3</t>
  </si>
  <si>
    <t>Channel 4 camera name = CAM4</t>
  </si>
  <si>
    <t>0x00000683</t>
  </si>
  <si>
    <t>Move to Stream Start + Stream Size (0x183 + 0x500 = 0x683)</t>
  </si>
  <si>
    <t>[FrameInfo]</t>
  </si>
  <si>
    <t>0x00000687</t>
  </si>
  <si>
    <t>0x00000688</t>
  </si>
  <si>
    <t>0x00000689</t>
  </si>
  <si>
    <t>0x0000068B</t>
  </si>
  <si>
    <t>F8 06 00 00</t>
  </si>
  <si>
    <t>79 34 00 00</t>
  </si>
  <si>
    <t>01 00</t>
  </si>
  <si>
    <t>Stream Data Offset = 0x06F8</t>
  </si>
  <si>
    <t>0x0000068C</t>
  </si>
  <si>
    <t>0x00000690</t>
  </si>
  <si>
    <t>0x00000694</t>
  </si>
  <si>
    <t>0x00000698</t>
  </si>
  <si>
    <t>0x0000069A</t>
  </si>
  <si>
    <t>0x0000069B</t>
  </si>
  <si>
    <t>0x0000069C</t>
  </si>
  <si>
    <t>0x0000069E</t>
  </si>
  <si>
    <t>0x000006A2</t>
  </si>
  <si>
    <t>Millisecond Time = 1</t>
  </si>
  <si>
    <t>0x000006A6</t>
  </si>
  <si>
    <t>0x000006A7</t>
  </si>
  <si>
    <t>0x000006A8</t>
  </si>
  <si>
    <t>0x000006A9</t>
  </si>
  <si>
    <t>0x000006AB</t>
  </si>
  <si>
    <t>0x000006AD</t>
  </si>
  <si>
    <t>0x000006AF</t>
  </si>
  <si>
    <t>Codec Type Bitmap=1, JPEG=2, MP4=3 h.264=5</t>
  </si>
  <si>
    <r>
      <t xml:space="preserve">Channel (0 to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-1)</t>
    </r>
  </si>
  <si>
    <t>Frame Type, JPEG=1, Interlaced=2, Progressive=3</t>
  </si>
  <si>
    <t>Video Width = 0x500 = 1280</t>
  </si>
  <si>
    <t>Video Height = 0x2D0 = 720</t>
  </si>
  <si>
    <t>Record Type normal=0, pre=1, post=1</t>
  </si>
  <si>
    <t>RecordAudio no=0, yes=1?</t>
  </si>
  <si>
    <t>[GPS]</t>
  </si>
  <si>
    <t>0x000006B0</t>
  </si>
  <si>
    <t>SBYTE</t>
  </si>
  <si>
    <t>03</t>
  </si>
  <si>
    <t>See DMS_GPS - Signal Type 3D Fixed = 3</t>
  </si>
  <si>
    <t>0x000006B1</t>
  </si>
  <si>
    <t>0x000006B9</t>
  </si>
  <si>
    <t>DLONG</t>
  </si>
  <si>
    <t>7B BD FB E3 35 25 B4 40</t>
  </si>
  <si>
    <t>0x000006C1</t>
  </si>
  <si>
    <t>0x000006C3</t>
  </si>
  <si>
    <t>0x000006C5</t>
  </si>
  <si>
    <t>99 D3 65 31 B1 E3 5D 40</t>
  </si>
  <si>
    <t>23 00</t>
  </si>
  <si>
    <t>C9 00</t>
  </si>
  <si>
    <t>Altitude = 0</t>
  </si>
  <si>
    <t>Heading = 201 deg</t>
  </si>
  <si>
    <t>0x000006C7</t>
  </si>
  <si>
    <t>E5 07</t>
  </si>
  <si>
    <t>0x000006C9</t>
  </si>
  <si>
    <t>0x000006CD</t>
  </si>
  <si>
    <t>0x000006CF</t>
  </si>
  <si>
    <t>01 00 00 00</t>
  </si>
  <si>
    <t>0C 00</t>
  </si>
  <si>
    <t>0x000006D1</t>
  </si>
  <si>
    <t>11 00</t>
  </si>
  <si>
    <t>10 00</t>
  </si>
  <si>
    <t>18 00</t>
  </si>
  <si>
    <t>0x000006D3</t>
  </si>
  <si>
    <t>Year = 0x7E5 = 2021</t>
  </si>
  <si>
    <t>Month = 0x1 = Jan</t>
  </si>
  <si>
    <t>Day = 0xC = 12</t>
  </si>
  <si>
    <t>Hour = 0x11 = 17</t>
  </si>
  <si>
    <t>Min = 0x10 = 16</t>
  </si>
  <si>
    <t>Sec = 0x18 = 24</t>
  </si>
  <si>
    <t>[Gsensor]</t>
  </si>
  <si>
    <t>0x000006D5</t>
  </si>
  <si>
    <t>0x000006D7</t>
  </si>
  <si>
    <t>0x000006D9</t>
  </si>
  <si>
    <t>97 FF</t>
  </si>
  <si>
    <t>38 00</t>
  </si>
  <si>
    <t>Millisecond = 0</t>
  </si>
  <si>
    <t>4E 04</t>
  </si>
  <si>
    <t>G Sensor X = 0xFF97 = -104mG</t>
  </si>
  <si>
    <t>G Sensor Y = 0x0038 = 50mG</t>
  </si>
  <si>
    <t>G Sensor Z = 0x044E = 1102mG</t>
  </si>
  <si>
    <t>0x000006DB</t>
  </si>
  <si>
    <t>0x000006DD</t>
  </si>
  <si>
    <t>0x000006DF</t>
  </si>
  <si>
    <t>0x000006E1</t>
  </si>
  <si>
    <t>0x000006E2</t>
  </si>
  <si>
    <t>0x000006E4</t>
  </si>
  <si>
    <t>0x000006E6</t>
  </si>
  <si>
    <t>0x000006E8</t>
  </si>
  <si>
    <t>0x000006E9</t>
  </si>
  <si>
    <t>0x000006EA</t>
  </si>
  <si>
    <t>0x000006EC</t>
  </si>
  <si>
    <t>0x000006EE</t>
  </si>
  <si>
    <t>0x000006F0</t>
  </si>
  <si>
    <t>0x000006F1</t>
  </si>
  <si>
    <t>0x000006F2</t>
  </si>
  <si>
    <t>0x000006F4</t>
  </si>
  <si>
    <t>0x000006F6</t>
  </si>
  <si>
    <t>FD</t>
  </si>
  <si>
    <t>FF 01</t>
  </si>
  <si>
    <t>00 FF</t>
  </si>
  <si>
    <t>FF 00</t>
  </si>
  <si>
    <t>Event Type</t>
  </si>
  <si>
    <t>Motion Channel</t>
  </si>
  <si>
    <t>Car Signal</t>
  </si>
  <si>
    <t>Car Pulse</t>
  </si>
  <si>
    <t>Alarm In</t>
  </si>
  <si>
    <t>Alarm Out</t>
  </si>
  <si>
    <t>External DataType</t>
  </si>
  <si>
    <t>Video Loss Channels</t>
  </si>
  <si>
    <t>RPM</t>
  </si>
  <si>
    <t>EventInfo</t>
  </si>
  <si>
    <t>Gsensor Number = 1</t>
  </si>
  <si>
    <t>DataType</t>
  </si>
  <si>
    <t>Reserved Debug FPS</t>
  </si>
  <si>
    <t>Reserved Debug Gaptime</t>
  </si>
  <si>
    <t>0x000006F8</t>
  </si>
  <si>
    <t>[StreamData Offset]</t>
  </si>
  <si>
    <t>Stream Data Size = 0x3479 = 13,433</t>
  </si>
  <si>
    <t>0x00003B71</t>
  </si>
  <si>
    <t>HEX</t>
  </si>
  <si>
    <t>405de3b13165d399</t>
  </si>
  <si>
    <t>BIN</t>
  </si>
  <si>
    <t>Sign Bit</t>
  </si>
  <si>
    <t>Exponent</t>
  </si>
  <si>
    <t>1 bit</t>
  </si>
  <si>
    <t>11 bits</t>
  </si>
  <si>
    <t>Mantissa</t>
  </si>
  <si>
    <t>VALUE</t>
  </si>
  <si>
    <t>Longitude = 119.55769 which translates to 1deg 19.55769 mins EAST</t>
  </si>
  <si>
    <t>Latitude = 5157.21051 which translates to 51deg 57.21051 mins NORTH</t>
  </si>
  <si>
    <t>Speed (in kph) = 35 kmh or 21.75mph</t>
  </si>
  <si>
    <t>0x00003B75</t>
  </si>
  <si>
    <r>
      <t xml:space="preserve">Channel (0 to </t>
    </r>
    <r>
      <rPr>
        <i/>
        <sz val="12"/>
        <color rgb="FF000000"/>
        <rFont val="Calibri"/>
        <family val="2"/>
        <scheme val="minor"/>
      </rPr>
      <t>n</t>
    </r>
    <r>
      <rPr>
        <sz val="12"/>
        <color rgb="FF000000"/>
        <rFont val="Calibri"/>
        <family val="2"/>
        <scheme val="minor"/>
      </rPr>
      <t>-1)</t>
    </r>
  </si>
  <si>
    <t>0x00003B76</t>
  </si>
  <si>
    <t>0x00003B77</t>
  </si>
  <si>
    <t>0x00003B79</t>
  </si>
  <si>
    <t>0x00003B7A</t>
  </si>
  <si>
    <t>0x00003B7E</t>
  </si>
  <si>
    <t>0x00003B82</t>
  </si>
  <si>
    <t>0x00003B86</t>
  </si>
  <si>
    <t>0x00003B88</t>
  </si>
  <si>
    <t>0x00003B89</t>
  </si>
  <si>
    <t>0x00003B8A</t>
  </si>
  <si>
    <t>0x00003B8C</t>
  </si>
  <si>
    <t>0x00003B90</t>
  </si>
  <si>
    <t>0x00003B94</t>
  </si>
  <si>
    <t>0x00003B95</t>
  </si>
  <si>
    <t>0x00003B96</t>
  </si>
  <si>
    <t>0x00003B97</t>
  </si>
  <si>
    <t>0x00003B99</t>
  </si>
  <si>
    <t>0x00003B9B</t>
  </si>
  <si>
    <t>0x00003B9D</t>
  </si>
  <si>
    <t>0x00003B9E</t>
  </si>
  <si>
    <t>0x00003BA7</t>
  </si>
  <si>
    <t>0x00003BCF</t>
  </si>
  <si>
    <t>0x00003BD6</t>
  </si>
  <si>
    <t>0x00003BD7</t>
  </si>
  <si>
    <t>0x00003BDE</t>
  </si>
  <si>
    <t>0x00003BDF</t>
  </si>
  <si>
    <t xml:space="preserve">E6 3B 00 00 </t>
  </si>
  <si>
    <t>Stream Data Offset = 0x3BE6</t>
  </si>
  <si>
    <t>36 32 00 00</t>
  </si>
  <si>
    <t>Stream Data Size = 0x3236 = 12,854</t>
  </si>
  <si>
    <t>0B 00</t>
  </si>
  <si>
    <t>Millisecond Time = 11</t>
  </si>
  <si>
    <t>0x00003B9F</t>
  </si>
  <si>
    <t>0x00003BAF</t>
  </si>
  <si>
    <t>0x00003BB1</t>
  </si>
  <si>
    <t>0x00003BB3</t>
  </si>
  <si>
    <t>0x00003BB5</t>
  </si>
  <si>
    <t>0x00003BB7</t>
  </si>
  <si>
    <t>0x00003BBB</t>
  </si>
  <si>
    <t>0x00003BBD</t>
  </si>
  <si>
    <t>0x00003BBF</t>
  </si>
  <si>
    <t>0x00003BC1</t>
  </si>
  <si>
    <t>0x00003BC3</t>
  </si>
  <si>
    <t>0x00003BC5</t>
  </si>
  <si>
    <t>0x00003BC7</t>
  </si>
  <si>
    <t>0x00003BC9</t>
  </si>
  <si>
    <t>0x00003BCB</t>
  </si>
  <si>
    <t>0x00003BCD</t>
  </si>
  <si>
    <t>0x00003BD0</t>
  </si>
  <si>
    <t>0x00003BD2</t>
  </si>
  <si>
    <t>0x00003BD4</t>
  </si>
  <si>
    <t>0x00003BD8</t>
  </si>
  <si>
    <t>0x00003BDA</t>
  </si>
  <si>
    <t>0x00003BDC</t>
  </si>
  <si>
    <t>0x00003BE0</t>
  </si>
  <si>
    <t>0x00003BE2</t>
  </si>
  <si>
    <t>0x00003BE4</t>
  </si>
  <si>
    <t>BYTE x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</si>
</sst>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sz val="12"/>
      <color theme="1"/>
      <name val="Al Nile"/>
      <charset val="178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2" tint="-0.24997711111789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164" fontId="1" fillId="0" borderId="0" xfId="0" applyNumberFormat="1" applyFont="1" applyFill="1"/>
    <xf numFmtId="164" fontId="1" fillId="2" borderId="0" xfId="0" applyNumberFormat="1" applyFont="1" applyFill="1"/>
    <xf numFmtId="0" fontId="0" fillId="2" borderId="0" xfId="0" applyFill="1" applyAlignment="1">
      <alignment horizontal="center"/>
    </xf>
    <xf numFmtId="0" fontId="0" fillId="2" borderId="0" xfId="0" applyFill="1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 indent="1"/>
    </xf>
    <xf numFmtId="0" fontId="1" fillId="2" borderId="0" xfId="0" applyFont="1" applyFill="1"/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quotePrefix="1" applyNumberFormat="1"/>
    <xf numFmtId="0" fontId="0" fillId="0" borderId="0" xfId="0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0" fontId="4" fillId="2" borderId="0" xfId="0" applyFont="1" applyFill="1"/>
    <xf numFmtId="164" fontId="1" fillId="3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wrapText="1"/>
    </xf>
    <xf numFmtId="0" fontId="0" fillId="3" borderId="0" xfId="0" applyFill="1"/>
    <xf numFmtId="164" fontId="0" fillId="0" borderId="0" xfId="0" applyNumberFormat="1" applyAlignment="1">
      <alignment horizontal="left" vertical="center"/>
    </xf>
    <xf numFmtId="0" fontId="0" fillId="4" borderId="0" xfId="0" applyFill="1"/>
    <xf numFmtId="164" fontId="6" fillId="4" borderId="0" xfId="0" applyNumberFormat="1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 wrapText="1"/>
    </xf>
    <xf numFmtId="0" fontId="6" fillId="4" borderId="0" xfId="0" applyFont="1" applyFill="1"/>
    <xf numFmtId="0" fontId="7" fillId="0" borderId="0" xfId="0" applyFont="1" applyAlignment="1">
      <alignment horizontal="left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5" borderId="0" xfId="0" applyFill="1"/>
    <xf numFmtId="164" fontId="8" fillId="6" borderId="0" xfId="0" applyNumberFormat="1" applyFont="1" applyFill="1"/>
    <xf numFmtId="0" fontId="7" fillId="0" borderId="0" xfId="0" applyFont="1"/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left" wrapText="1"/>
    </xf>
    <xf numFmtId="0" fontId="7" fillId="6" borderId="0" xfId="0" applyFont="1" applyFill="1"/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7" fillId="7" borderId="0" xfId="0" applyFont="1" applyFill="1"/>
    <xf numFmtId="0" fontId="7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8447-8094-8D41-A604-E6D1F1D69A5B}">
  <dimension ref="A1:E227"/>
  <sheetViews>
    <sheetView tabSelected="1" topLeftCell="A99" zoomScale="140" zoomScaleNormal="140" workbookViewId="0">
      <selection activeCell="B78" sqref="B78"/>
    </sheetView>
  </sheetViews>
  <sheetFormatPr baseColWidth="10" defaultRowHeight="16" x14ac:dyDescent="0.2"/>
  <cols>
    <col min="1" max="1" width="12" style="3" customWidth="1"/>
    <col min="2" max="2" width="13.1640625" style="4" customWidth="1"/>
    <col min="3" max="3" width="26.83203125" style="25" customWidth="1"/>
    <col min="4" max="4" width="82.1640625" customWidth="1"/>
  </cols>
  <sheetData>
    <row r="1" spans="1:5" x14ac:dyDescent="0.2">
      <c r="A1" s="3" t="s">
        <v>35</v>
      </c>
    </row>
    <row r="3" spans="1:5" ht="20" x14ac:dyDescent="0.25">
      <c r="A3" s="9" t="s">
        <v>0</v>
      </c>
      <c r="B3" s="10" t="s">
        <v>1</v>
      </c>
      <c r="C3" s="26" t="s">
        <v>2</v>
      </c>
      <c r="D3" s="11" t="s">
        <v>3</v>
      </c>
      <c r="E3" s="1"/>
    </row>
    <row r="4" spans="1:5" ht="19" x14ac:dyDescent="0.25">
      <c r="A4" s="16" t="s">
        <v>39</v>
      </c>
      <c r="B4" s="17"/>
      <c r="C4" s="27"/>
      <c r="D4" s="18"/>
    </row>
    <row r="5" spans="1:5" x14ac:dyDescent="0.2">
      <c r="A5" s="19" t="s">
        <v>7</v>
      </c>
      <c r="B5" s="7"/>
      <c r="C5" s="28"/>
      <c r="D5" s="8"/>
    </row>
    <row r="6" spans="1:5" ht="17" x14ac:dyDescent="0.2">
      <c r="A6" s="3" t="s">
        <v>4</v>
      </c>
      <c r="B6" s="4" t="s">
        <v>5</v>
      </c>
      <c r="C6" s="25" t="s">
        <v>6</v>
      </c>
      <c r="D6" t="s">
        <v>8</v>
      </c>
    </row>
    <row r="7" spans="1:5" ht="17" x14ac:dyDescent="0.2">
      <c r="A7" s="3" t="s">
        <v>9</v>
      </c>
      <c r="B7" s="4" t="s">
        <v>10</v>
      </c>
      <c r="C7" s="29" t="s">
        <v>17</v>
      </c>
      <c r="D7" t="s">
        <v>18</v>
      </c>
    </row>
    <row r="8" spans="1:5" ht="17" x14ac:dyDescent="0.2">
      <c r="A8" s="3" t="s">
        <v>11</v>
      </c>
      <c r="B8" s="4" t="s">
        <v>10</v>
      </c>
      <c r="C8" s="29" t="s">
        <v>16</v>
      </c>
      <c r="D8" t="s">
        <v>12</v>
      </c>
    </row>
    <row r="9" spans="1:5" ht="17" x14ac:dyDescent="0.2">
      <c r="A9" s="3" t="s">
        <v>14</v>
      </c>
      <c r="B9" s="4" t="s">
        <v>13</v>
      </c>
      <c r="C9" s="25" t="s">
        <v>15</v>
      </c>
      <c r="D9" t="s">
        <v>12</v>
      </c>
    </row>
    <row r="10" spans="1:5" x14ac:dyDescent="0.2">
      <c r="A10" s="19" t="s">
        <v>19</v>
      </c>
      <c r="B10" s="14"/>
      <c r="C10" s="30"/>
      <c r="D10" s="15"/>
    </row>
    <row r="11" spans="1:5" ht="17" x14ac:dyDescent="0.2">
      <c r="A11" s="3" t="s">
        <v>20</v>
      </c>
      <c r="B11" s="4" t="s">
        <v>5</v>
      </c>
      <c r="C11" s="25" t="s">
        <v>34</v>
      </c>
      <c r="D11" t="s">
        <v>38</v>
      </c>
    </row>
    <row r="12" spans="1:5" ht="17" x14ac:dyDescent="0.2">
      <c r="A12" s="3" t="s">
        <v>21</v>
      </c>
      <c r="B12" s="4" t="s">
        <v>13</v>
      </c>
      <c r="C12" s="25" t="s">
        <v>15</v>
      </c>
      <c r="D12" t="s">
        <v>28</v>
      </c>
    </row>
    <row r="13" spans="1:5" ht="17" x14ac:dyDescent="0.2">
      <c r="A13" s="3" t="s">
        <v>22</v>
      </c>
      <c r="B13" s="4" t="s">
        <v>10</v>
      </c>
      <c r="C13" s="29" t="s">
        <v>16</v>
      </c>
      <c r="D13" t="s">
        <v>29</v>
      </c>
    </row>
    <row r="14" spans="1:5" ht="17" x14ac:dyDescent="0.2">
      <c r="A14" s="3" t="s">
        <v>23</v>
      </c>
      <c r="B14" s="4" t="s">
        <v>10</v>
      </c>
      <c r="C14" s="29" t="s">
        <v>16</v>
      </c>
      <c r="D14" t="s">
        <v>12</v>
      </c>
    </row>
    <row r="15" spans="1:5" ht="17" x14ac:dyDescent="0.2">
      <c r="A15" s="3" t="s">
        <v>24</v>
      </c>
      <c r="B15" s="4" t="s">
        <v>5</v>
      </c>
      <c r="C15" s="29" t="s">
        <v>36</v>
      </c>
      <c r="D15" t="s">
        <v>12</v>
      </c>
    </row>
    <row r="16" spans="1:5" ht="17" x14ac:dyDescent="0.2">
      <c r="A16" s="3" t="s">
        <v>25</v>
      </c>
      <c r="B16" s="4" t="s">
        <v>13</v>
      </c>
      <c r="C16" s="29" t="s">
        <v>15</v>
      </c>
      <c r="D16" t="s">
        <v>30</v>
      </c>
    </row>
    <row r="17" spans="1:4" ht="17" x14ac:dyDescent="0.2">
      <c r="A17" s="3" t="s">
        <v>26</v>
      </c>
      <c r="B17" s="4" t="s">
        <v>31</v>
      </c>
      <c r="C17" s="25" t="s">
        <v>37</v>
      </c>
      <c r="D17" t="s">
        <v>33</v>
      </c>
    </row>
    <row r="18" spans="1:4" ht="17" x14ac:dyDescent="0.2">
      <c r="A18" s="3" t="s">
        <v>32</v>
      </c>
      <c r="B18" s="4" t="s">
        <v>10</v>
      </c>
      <c r="C18" s="29" t="s">
        <v>16</v>
      </c>
      <c r="D18" t="s">
        <v>12</v>
      </c>
    </row>
    <row r="19" spans="1:4" ht="17" x14ac:dyDescent="0.2">
      <c r="A19" s="3" t="s">
        <v>27</v>
      </c>
      <c r="B19" s="4" t="s">
        <v>13</v>
      </c>
      <c r="C19" s="25" t="s">
        <v>15</v>
      </c>
      <c r="D19" t="s">
        <v>12</v>
      </c>
    </row>
    <row r="21" spans="1:4" ht="17" x14ac:dyDescent="0.2">
      <c r="A21" s="3" t="s">
        <v>40</v>
      </c>
      <c r="B21" s="4" t="s">
        <v>10</v>
      </c>
      <c r="C21" s="29" t="s">
        <v>16</v>
      </c>
      <c r="D21" t="s">
        <v>44</v>
      </c>
    </row>
    <row r="22" spans="1:4" ht="17" x14ac:dyDescent="0.2">
      <c r="A22" s="3" t="s">
        <v>41</v>
      </c>
      <c r="B22" s="4" t="s">
        <v>10</v>
      </c>
      <c r="C22" s="29" t="s">
        <v>16</v>
      </c>
      <c r="D22" t="s">
        <v>45</v>
      </c>
    </row>
    <row r="23" spans="1:4" ht="17" x14ac:dyDescent="0.2">
      <c r="A23" s="3" t="s">
        <v>42</v>
      </c>
      <c r="B23" s="4" t="s">
        <v>13</v>
      </c>
      <c r="C23" s="25" t="s">
        <v>15</v>
      </c>
      <c r="D23" t="s">
        <v>12</v>
      </c>
    </row>
    <row r="24" spans="1:4" ht="17" x14ac:dyDescent="0.2">
      <c r="A24" s="3" t="s">
        <v>43</v>
      </c>
      <c r="B24" s="4" t="s">
        <v>5</v>
      </c>
      <c r="C24" s="25" t="s">
        <v>36</v>
      </c>
      <c r="D24" t="s">
        <v>12</v>
      </c>
    </row>
    <row r="26" spans="1:4" x14ac:dyDescent="0.2">
      <c r="A26" s="13" t="s">
        <v>46</v>
      </c>
      <c r="B26" s="7"/>
      <c r="C26" s="28"/>
      <c r="D26" s="20"/>
    </row>
    <row r="27" spans="1:4" x14ac:dyDescent="0.2">
      <c r="A27" s="19" t="s">
        <v>7</v>
      </c>
      <c r="B27" s="7"/>
      <c r="C27" s="28"/>
      <c r="D27" s="8"/>
    </row>
    <row r="28" spans="1:4" ht="17" x14ac:dyDescent="0.2">
      <c r="A28" s="3" t="s">
        <v>47</v>
      </c>
      <c r="B28" s="4" t="s">
        <v>5</v>
      </c>
      <c r="C28" s="25" t="s">
        <v>48</v>
      </c>
      <c r="D28" t="s">
        <v>49</v>
      </c>
    </row>
    <row r="29" spans="1:4" ht="17" x14ac:dyDescent="0.2">
      <c r="A29" s="3" t="s">
        <v>50</v>
      </c>
      <c r="B29" s="4" t="s">
        <v>10</v>
      </c>
      <c r="C29" s="29" t="s">
        <v>17</v>
      </c>
      <c r="D29" t="s">
        <v>18</v>
      </c>
    </row>
    <row r="30" spans="1:4" ht="17" x14ac:dyDescent="0.2">
      <c r="A30" s="3" t="s">
        <v>51</v>
      </c>
      <c r="B30" s="4" t="s">
        <v>10</v>
      </c>
      <c r="C30" s="29" t="s">
        <v>16</v>
      </c>
      <c r="D30" t="s">
        <v>12</v>
      </c>
    </row>
    <row r="31" spans="1:4" ht="17" x14ac:dyDescent="0.2">
      <c r="A31" s="3" t="s">
        <v>52</v>
      </c>
      <c r="B31" s="4" t="s">
        <v>13</v>
      </c>
      <c r="C31" s="25" t="s">
        <v>15</v>
      </c>
      <c r="D31" t="s">
        <v>12</v>
      </c>
    </row>
    <row r="33" spans="1:4" ht="17" x14ac:dyDescent="0.2">
      <c r="A33" s="3" t="s">
        <v>53</v>
      </c>
      <c r="B33" s="4" t="s">
        <v>5</v>
      </c>
      <c r="C33" s="25" t="s">
        <v>36</v>
      </c>
      <c r="D33" t="s">
        <v>54</v>
      </c>
    </row>
    <row r="34" spans="1:4" ht="102" x14ac:dyDescent="0.2">
      <c r="A34" s="21" t="s">
        <v>55</v>
      </c>
      <c r="B34" s="22" t="s">
        <v>56</v>
      </c>
      <c r="C34" s="25" t="s">
        <v>57</v>
      </c>
      <c r="D34" s="23" t="s">
        <v>63</v>
      </c>
    </row>
    <row r="35" spans="1:4" ht="102" x14ac:dyDescent="0.2">
      <c r="A35" s="21" t="s">
        <v>58</v>
      </c>
      <c r="B35" s="22" t="s">
        <v>56</v>
      </c>
      <c r="C35" s="25" t="s">
        <v>59</v>
      </c>
      <c r="D35" s="23" t="s">
        <v>64</v>
      </c>
    </row>
    <row r="36" spans="1:4" ht="17" x14ac:dyDescent="0.2">
      <c r="A36" s="3" t="s">
        <v>60</v>
      </c>
      <c r="B36" s="4" t="s">
        <v>10</v>
      </c>
      <c r="C36" s="29" t="s">
        <v>61</v>
      </c>
      <c r="D36" t="s">
        <v>147</v>
      </c>
    </row>
    <row r="37" spans="1:4" ht="17" x14ac:dyDescent="0.2">
      <c r="A37" s="24" t="s">
        <v>62</v>
      </c>
      <c r="B37" s="4" t="s">
        <v>10</v>
      </c>
      <c r="C37" s="29" t="s">
        <v>16</v>
      </c>
      <c r="D37" t="s">
        <v>12</v>
      </c>
    </row>
    <row r="38" spans="1:4" x14ac:dyDescent="0.2">
      <c r="A38" s="24"/>
      <c r="C38" s="29"/>
    </row>
    <row r="39" spans="1:4" x14ac:dyDescent="0.2">
      <c r="A39" s="13" t="s">
        <v>65</v>
      </c>
      <c r="B39" s="7"/>
      <c r="C39" s="28"/>
      <c r="D39" s="20"/>
    </row>
    <row r="40" spans="1:4" x14ac:dyDescent="0.2">
      <c r="A40" s="13" t="s">
        <v>86</v>
      </c>
      <c r="B40" s="7"/>
      <c r="C40" s="28"/>
      <c r="D40" s="20"/>
    </row>
    <row r="41" spans="1:4" x14ac:dyDescent="0.2">
      <c r="A41" s="12" t="s">
        <v>87</v>
      </c>
      <c r="B41" s="5"/>
      <c r="C41" s="31"/>
      <c r="D41" s="6"/>
    </row>
    <row r="42" spans="1:4" ht="17" x14ac:dyDescent="0.2">
      <c r="A42" s="3" t="s">
        <v>66</v>
      </c>
      <c r="B42" s="4" t="s">
        <v>13</v>
      </c>
      <c r="C42" s="25" t="s">
        <v>73</v>
      </c>
      <c r="D42" t="s">
        <v>74</v>
      </c>
    </row>
    <row r="43" spans="1:4" ht="17" x14ac:dyDescent="0.2">
      <c r="A43" s="3" t="s">
        <v>67</v>
      </c>
      <c r="B43" s="4" t="s">
        <v>13</v>
      </c>
      <c r="C43" s="25" t="s">
        <v>75</v>
      </c>
      <c r="D43" t="s">
        <v>76</v>
      </c>
    </row>
    <row r="44" spans="1:4" ht="19" x14ac:dyDescent="0.2">
      <c r="A44" s="3" t="s">
        <v>68</v>
      </c>
      <c r="B44" s="4" t="s">
        <v>5</v>
      </c>
      <c r="C44" s="25" t="s">
        <v>77</v>
      </c>
      <c r="D44" t="s">
        <v>83</v>
      </c>
    </row>
    <row r="45" spans="1:4" ht="17" x14ac:dyDescent="0.2">
      <c r="A45" s="3" t="s">
        <v>69</v>
      </c>
      <c r="B45" s="4" t="s">
        <v>10</v>
      </c>
      <c r="C45" s="29" t="s">
        <v>80</v>
      </c>
      <c r="D45" t="s">
        <v>81</v>
      </c>
    </row>
    <row r="46" spans="1:4" ht="17" x14ac:dyDescent="0.2">
      <c r="A46" s="3" t="s">
        <v>70</v>
      </c>
      <c r="B46" s="4" t="s">
        <v>10</v>
      </c>
      <c r="C46" s="29" t="s">
        <v>79</v>
      </c>
      <c r="D46" t="s">
        <v>118</v>
      </c>
    </row>
    <row r="47" spans="1:4" ht="17" x14ac:dyDescent="0.2">
      <c r="A47" s="3" t="s">
        <v>71</v>
      </c>
      <c r="B47" s="4" t="s">
        <v>10</v>
      </c>
      <c r="C47" s="25" t="s">
        <v>78</v>
      </c>
      <c r="D47" t="s">
        <v>82</v>
      </c>
    </row>
    <row r="48" spans="1:4" ht="17" x14ac:dyDescent="0.2">
      <c r="A48" s="3" t="s">
        <v>72</v>
      </c>
      <c r="B48" s="4" t="s">
        <v>10</v>
      </c>
      <c r="C48" s="29" t="s">
        <v>16</v>
      </c>
      <c r="D48" t="s">
        <v>12</v>
      </c>
    </row>
    <row r="49" spans="1:4" x14ac:dyDescent="0.2">
      <c r="A49" s="2" t="s">
        <v>88</v>
      </c>
    </row>
    <row r="50" spans="1:4" ht="17" x14ac:dyDescent="0.2">
      <c r="A50" s="3" t="s">
        <v>84</v>
      </c>
      <c r="B50" s="4" t="s">
        <v>13</v>
      </c>
      <c r="C50" s="25" t="s">
        <v>73</v>
      </c>
      <c r="D50" t="s">
        <v>74</v>
      </c>
    </row>
    <row r="51" spans="1:4" ht="17" x14ac:dyDescent="0.2">
      <c r="A51" s="3" t="s">
        <v>85</v>
      </c>
      <c r="B51" s="4" t="s">
        <v>13</v>
      </c>
      <c r="C51" s="25" t="s">
        <v>75</v>
      </c>
      <c r="D51" t="s">
        <v>76</v>
      </c>
    </row>
    <row r="52" spans="1:4" ht="19" x14ac:dyDescent="0.2">
      <c r="A52" s="3" t="s">
        <v>91</v>
      </c>
      <c r="B52" s="4" t="s">
        <v>5</v>
      </c>
      <c r="C52" s="25" t="s">
        <v>77</v>
      </c>
      <c r="D52" t="s">
        <v>83</v>
      </c>
    </row>
    <row r="53" spans="1:4" ht="17" x14ac:dyDescent="0.2">
      <c r="A53" s="3" t="s">
        <v>105</v>
      </c>
      <c r="B53" s="4" t="s">
        <v>10</v>
      </c>
      <c r="C53" s="29" t="s">
        <v>80</v>
      </c>
      <c r="D53" t="s">
        <v>81</v>
      </c>
    </row>
    <row r="54" spans="1:4" ht="17" x14ac:dyDescent="0.2">
      <c r="A54" s="3" t="s">
        <v>106</v>
      </c>
      <c r="B54" s="4" t="s">
        <v>10</v>
      </c>
      <c r="C54" s="29" t="s">
        <v>79</v>
      </c>
      <c r="D54" t="s">
        <v>118</v>
      </c>
    </row>
    <row r="55" spans="1:4" ht="17" x14ac:dyDescent="0.2">
      <c r="A55" s="3" t="s">
        <v>92</v>
      </c>
      <c r="B55" s="4" t="s">
        <v>10</v>
      </c>
      <c r="C55" s="25" t="s">
        <v>78</v>
      </c>
      <c r="D55" t="s">
        <v>82</v>
      </c>
    </row>
    <row r="56" spans="1:4" ht="17" x14ac:dyDescent="0.2">
      <c r="A56" s="3" t="s">
        <v>93</v>
      </c>
      <c r="B56" s="4" t="s">
        <v>10</v>
      </c>
      <c r="C56" s="29" t="s">
        <v>16</v>
      </c>
      <c r="D56" t="s">
        <v>12</v>
      </c>
    </row>
    <row r="57" spans="1:4" x14ac:dyDescent="0.2">
      <c r="A57" s="2" t="s">
        <v>89</v>
      </c>
    </row>
    <row r="58" spans="1:4" ht="17" x14ac:dyDescent="0.2">
      <c r="A58" s="3" t="s">
        <v>94</v>
      </c>
      <c r="B58" s="4" t="s">
        <v>13</v>
      </c>
      <c r="C58" s="25" t="s">
        <v>73</v>
      </c>
      <c r="D58" t="s">
        <v>74</v>
      </c>
    </row>
    <row r="59" spans="1:4" ht="17" x14ac:dyDescent="0.2">
      <c r="A59" s="3" t="s">
        <v>95</v>
      </c>
      <c r="B59" s="4" t="s">
        <v>13</v>
      </c>
      <c r="C59" s="25" t="s">
        <v>75</v>
      </c>
      <c r="D59" t="s">
        <v>76</v>
      </c>
    </row>
    <row r="60" spans="1:4" ht="19" x14ac:dyDescent="0.2">
      <c r="A60" s="3" t="s">
        <v>96</v>
      </c>
      <c r="B60" s="4" t="s">
        <v>5</v>
      </c>
      <c r="C60" s="25" t="s">
        <v>77</v>
      </c>
      <c r="D60" t="s">
        <v>83</v>
      </c>
    </row>
    <row r="61" spans="1:4" ht="17" x14ac:dyDescent="0.2">
      <c r="A61" s="3" t="s">
        <v>107</v>
      </c>
      <c r="B61" s="4" t="s">
        <v>10</v>
      </c>
      <c r="C61" s="29" t="s">
        <v>80</v>
      </c>
      <c r="D61" t="s">
        <v>81</v>
      </c>
    </row>
    <row r="62" spans="1:4" ht="17" x14ac:dyDescent="0.2">
      <c r="A62" s="3" t="s">
        <v>108</v>
      </c>
      <c r="B62" s="4" t="s">
        <v>10</v>
      </c>
      <c r="C62" s="29" t="s">
        <v>79</v>
      </c>
      <c r="D62" t="s">
        <v>118</v>
      </c>
    </row>
    <row r="63" spans="1:4" ht="17" x14ac:dyDescent="0.2">
      <c r="A63" s="3" t="s">
        <v>97</v>
      </c>
      <c r="B63" s="4" t="s">
        <v>10</v>
      </c>
      <c r="C63" s="25" t="s">
        <v>78</v>
      </c>
      <c r="D63" t="s">
        <v>82</v>
      </c>
    </row>
    <row r="64" spans="1:4" ht="17" x14ac:dyDescent="0.2">
      <c r="A64" s="3" t="s">
        <v>98</v>
      </c>
      <c r="B64" s="4" t="s">
        <v>10</v>
      </c>
      <c r="C64" s="29" t="s">
        <v>16</v>
      </c>
      <c r="D64" t="s">
        <v>12</v>
      </c>
    </row>
    <row r="65" spans="1:4" x14ac:dyDescent="0.2">
      <c r="A65" s="2" t="s">
        <v>90</v>
      </c>
    </row>
    <row r="66" spans="1:4" ht="17" x14ac:dyDescent="0.2">
      <c r="A66" s="3" t="s">
        <v>99</v>
      </c>
      <c r="B66" s="4" t="s">
        <v>13</v>
      </c>
      <c r="C66" s="25" t="s">
        <v>75</v>
      </c>
      <c r="D66" t="s">
        <v>111</v>
      </c>
    </row>
    <row r="67" spans="1:4" ht="17" x14ac:dyDescent="0.2">
      <c r="A67" s="3" t="s">
        <v>100</v>
      </c>
      <c r="B67" s="4" t="s">
        <v>13</v>
      </c>
      <c r="C67" s="25" t="s">
        <v>112</v>
      </c>
      <c r="D67" t="s">
        <v>113</v>
      </c>
    </row>
    <row r="68" spans="1:4" ht="19" x14ac:dyDescent="0.2">
      <c r="A68" s="3" t="s">
        <v>101</v>
      </c>
      <c r="B68" s="4" t="s">
        <v>5</v>
      </c>
      <c r="C68" s="25" t="s">
        <v>77</v>
      </c>
      <c r="D68" t="s">
        <v>83</v>
      </c>
    </row>
    <row r="69" spans="1:4" ht="17" x14ac:dyDescent="0.2">
      <c r="A69" s="3" t="s">
        <v>109</v>
      </c>
      <c r="B69" s="4" t="s">
        <v>10</v>
      </c>
      <c r="C69" s="29" t="s">
        <v>80</v>
      </c>
      <c r="D69" t="s">
        <v>81</v>
      </c>
    </row>
    <row r="70" spans="1:4" ht="17" x14ac:dyDescent="0.2">
      <c r="A70" s="3" t="s">
        <v>110</v>
      </c>
      <c r="B70" s="4" t="s">
        <v>10</v>
      </c>
      <c r="C70" s="29" t="s">
        <v>79</v>
      </c>
      <c r="D70" t="s">
        <v>118</v>
      </c>
    </row>
    <row r="71" spans="1:4" ht="17" x14ac:dyDescent="0.2">
      <c r="A71" s="3" t="s">
        <v>102</v>
      </c>
      <c r="B71" s="4" t="s">
        <v>10</v>
      </c>
      <c r="C71" s="25" t="s">
        <v>78</v>
      </c>
      <c r="D71" t="s">
        <v>82</v>
      </c>
    </row>
    <row r="72" spans="1:4" ht="17" x14ac:dyDescent="0.2">
      <c r="A72" s="3" t="s">
        <v>103</v>
      </c>
      <c r="B72" s="4" t="s">
        <v>10</v>
      </c>
      <c r="C72" s="29" t="s">
        <v>16</v>
      </c>
      <c r="D72" t="s">
        <v>12</v>
      </c>
    </row>
    <row r="74" spans="1:4" ht="17" x14ac:dyDescent="0.2">
      <c r="A74" s="3" t="s">
        <v>104</v>
      </c>
      <c r="B74" s="4" t="s">
        <v>13</v>
      </c>
      <c r="C74" s="25" t="s">
        <v>15</v>
      </c>
      <c r="D74" t="s">
        <v>12</v>
      </c>
    </row>
    <row r="75" spans="1:4" ht="17" x14ac:dyDescent="0.2">
      <c r="A75" s="3" t="s">
        <v>114</v>
      </c>
      <c r="B75" s="4" t="s">
        <v>13</v>
      </c>
      <c r="C75" s="25" t="s">
        <v>15</v>
      </c>
      <c r="D75" t="s">
        <v>12</v>
      </c>
    </row>
    <row r="77" spans="1:4" ht="85" x14ac:dyDescent="0.2">
      <c r="A77" s="21" t="s">
        <v>115</v>
      </c>
      <c r="B77" s="22" t="s">
        <v>357</v>
      </c>
      <c r="C77" s="25" t="s">
        <v>150</v>
      </c>
      <c r="D77" s="23" t="s">
        <v>149</v>
      </c>
    </row>
    <row r="79" spans="1:4" x14ac:dyDescent="0.2">
      <c r="A79" s="13" t="s">
        <v>119</v>
      </c>
      <c r="B79" s="14"/>
      <c r="C79" s="30"/>
      <c r="D79" s="15"/>
    </row>
    <row r="80" spans="1:4" x14ac:dyDescent="0.2">
      <c r="A80" s="13" t="s">
        <v>7</v>
      </c>
      <c r="B80" s="14"/>
      <c r="C80" s="30"/>
      <c r="D80" s="15"/>
    </row>
    <row r="81" spans="1:4" ht="17" x14ac:dyDescent="0.2">
      <c r="A81" s="3" t="s">
        <v>116</v>
      </c>
      <c r="B81" s="4" t="s">
        <v>5</v>
      </c>
      <c r="C81" s="25" t="s">
        <v>117</v>
      </c>
      <c r="D81" t="s">
        <v>120</v>
      </c>
    </row>
    <row r="82" spans="1:4" ht="17" x14ac:dyDescent="0.2">
      <c r="A82" s="3" t="s">
        <v>121</v>
      </c>
      <c r="B82" s="4" t="s">
        <v>10</v>
      </c>
      <c r="C82" s="29" t="s">
        <v>61</v>
      </c>
      <c r="D82" t="s">
        <v>18</v>
      </c>
    </row>
    <row r="83" spans="1:4" ht="17" x14ac:dyDescent="0.2">
      <c r="A83" s="3" t="s">
        <v>123</v>
      </c>
      <c r="B83" s="4" t="s">
        <v>10</v>
      </c>
      <c r="C83" s="29" t="s">
        <v>16</v>
      </c>
      <c r="D83" t="s">
        <v>12</v>
      </c>
    </row>
    <row r="84" spans="1:4" ht="17" x14ac:dyDescent="0.2">
      <c r="A84" s="3" t="s">
        <v>122</v>
      </c>
      <c r="B84" s="4" t="s">
        <v>13</v>
      </c>
      <c r="C84" s="29" t="s">
        <v>15</v>
      </c>
      <c r="D84" t="s">
        <v>12</v>
      </c>
    </row>
    <row r="85" spans="1:4" ht="19" x14ac:dyDescent="0.35">
      <c r="A85" s="13" t="s">
        <v>124</v>
      </c>
      <c r="B85" s="32"/>
      <c r="C85" s="33"/>
      <c r="D85" s="34"/>
    </row>
    <row r="86" spans="1:4" ht="17" x14ac:dyDescent="0.2">
      <c r="A86" s="3" t="s">
        <v>125</v>
      </c>
      <c r="B86" s="4" t="s">
        <v>10</v>
      </c>
      <c r="C86" s="29" t="s">
        <v>127</v>
      </c>
      <c r="D86" t="s">
        <v>126</v>
      </c>
    </row>
    <row r="87" spans="1:4" ht="17" x14ac:dyDescent="0.2">
      <c r="A87" s="3" t="s">
        <v>128</v>
      </c>
      <c r="B87" s="4" t="s">
        <v>5</v>
      </c>
      <c r="C87" s="25" t="s">
        <v>129</v>
      </c>
      <c r="D87" s="38" t="s">
        <v>133</v>
      </c>
    </row>
    <row r="88" spans="1:4" ht="17" x14ac:dyDescent="0.2">
      <c r="A88" s="3" t="s">
        <v>130</v>
      </c>
      <c r="B88" s="4" t="s">
        <v>5</v>
      </c>
      <c r="C88" s="25" t="s">
        <v>131</v>
      </c>
      <c r="D88" t="s">
        <v>132</v>
      </c>
    </row>
    <row r="89" spans="1:4" ht="17" x14ac:dyDescent="0.2">
      <c r="A89" s="3" t="s">
        <v>134</v>
      </c>
      <c r="B89" s="4" t="s">
        <v>5</v>
      </c>
      <c r="C89" s="25" t="s">
        <v>34</v>
      </c>
      <c r="D89" t="s">
        <v>135</v>
      </c>
    </row>
    <row r="90" spans="1:4" ht="17" x14ac:dyDescent="0.2">
      <c r="A90" s="3" t="s">
        <v>136</v>
      </c>
      <c r="B90" s="4" t="s">
        <v>13</v>
      </c>
      <c r="C90" s="25" t="s">
        <v>15</v>
      </c>
      <c r="D90" t="s">
        <v>142</v>
      </c>
    </row>
    <row r="91" spans="1:4" ht="17" x14ac:dyDescent="0.2">
      <c r="A91" s="3" t="s">
        <v>137</v>
      </c>
      <c r="B91" s="4" t="s">
        <v>10</v>
      </c>
      <c r="C91" s="29" t="s">
        <v>16</v>
      </c>
      <c r="D91" t="s">
        <v>148</v>
      </c>
    </row>
    <row r="92" spans="1:4" ht="17" x14ac:dyDescent="0.2">
      <c r="A92" s="3" t="s">
        <v>138</v>
      </c>
      <c r="B92" s="4" t="s">
        <v>10</v>
      </c>
      <c r="C92" s="29" t="s">
        <v>16</v>
      </c>
      <c r="D92" t="s">
        <v>12</v>
      </c>
    </row>
    <row r="93" spans="1:4" ht="17" x14ac:dyDescent="0.2">
      <c r="A93" s="3" t="s">
        <v>139</v>
      </c>
      <c r="B93" s="4" t="s">
        <v>13</v>
      </c>
      <c r="C93" s="25" t="s">
        <v>15</v>
      </c>
      <c r="D93" t="s">
        <v>143</v>
      </c>
    </row>
    <row r="94" spans="1:4" ht="17" x14ac:dyDescent="0.2">
      <c r="A94" s="3" t="s">
        <v>140</v>
      </c>
      <c r="B94" s="4" t="s">
        <v>5</v>
      </c>
      <c r="C94" s="25" t="s">
        <v>36</v>
      </c>
      <c r="D94" t="s">
        <v>144</v>
      </c>
    </row>
    <row r="95" spans="1:4" ht="17" x14ac:dyDescent="0.2">
      <c r="A95" s="3" t="s">
        <v>141</v>
      </c>
      <c r="B95" s="4" t="s">
        <v>5</v>
      </c>
      <c r="C95" s="25" t="s">
        <v>36</v>
      </c>
      <c r="D95" t="s">
        <v>145</v>
      </c>
    </row>
    <row r="96" spans="1:4" x14ac:dyDescent="0.2">
      <c r="A96" s="13" t="s">
        <v>151</v>
      </c>
      <c r="B96" s="14"/>
      <c r="C96" s="30"/>
      <c r="D96" s="15"/>
    </row>
    <row r="97" spans="1:4" x14ac:dyDescent="0.2">
      <c r="A97" s="35" t="s">
        <v>153</v>
      </c>
      <c r="B97" s="36"/>
      <c r="C97" s="37"/>
      <c r="D97" s="38"/>
    </row>
    <row r="98" spans="1:4" ht="119" x14ac:dyDescent="0.2">
      <c r="A98" s="39" t="s">
        <v>152</v>
      </c>
      <c r="B98" s="22" t="s">
        <v>154</v>
      </c>
      <c r="C98" s="25" t="s">
        <v>155</v>
      </c>
      <c r="D98" s="23" t="s">
        <v>156</v>
      </c>
    </row>
    <row r="99" spans="1:4" ht="119" x14ac:dyDescent="0.2">
      <c r="A99" s="39" t="s">
        <v>157</v>
      </c>
      <c r="B99" s="22" t="s">
        <v>154</v>
      </c>
      <c r="C99" s="25" t="s">
        <v>160</v>
      </c>
      <c r="D99" s="23" t="s">
        <v>163</v>
      </c>
    </row>
    <row r="100" spans="1:4" ht="119" x14ac:dyDescent="0.2">
      <c r="A100" s="39" t="s">
        <v>158</v>
      </c>
      <c r="B100" s="22" t="s">
        <v>154</v>
      </c>
      <c r="C100" s="25" t="s">
        <v>161</v>
      </c>
      <c r="D100" s="23" t="s">
        <v>164</v>
      </c>
    </row>
    <row r="101" spans="1:4" ht="119" x14ac:dyDescent="0.2">
      <c r="A101" s="39" t="s">
        <v>159</v>
      </c>
      <c r="B101" s="22" t="s">
        <v>154</v>
      </c>
      <c r="C101" s="25" t="s">
        <v>162</v>
      </c>
      <c r="D101" s="23" t="s">
        <v>165</v>
      </c>
    </row>
    <row r="102" spans="1:4" x14ac:dyDescent="0.2">
      <c r="A102" s="13" t="s">
        <v>151</v>
      </c>
      <c r="B102" s="14"/>
      <c r="C102" s="30"/>
      <c r="D102" s="15"/>
    </row>
    <row r="103" spans="1:4" x14ac:dyDescent="0.2">
      <c r="A103" s="13" t="s">
        <v>167</v>
      </c>
      <c r="B103" s="14"/>
      <c r="C103" s="30"/>
      <c r="D103" s="15"/>
    </row>
    <row r="104" spans="1:4" x14ac:dyDescent="0.2">
      <c r="A104" s="13" t="s">
        <v>168</v>
      </c>
      <c r="B104" s="14"/>
      <c r="C104" s="30"/>
      <c r="D104" s="15"/>
    </row>
    <row r="105" spans="1:4" x14ac:dyDescent="0.2">
      <c r="A105" s="13" t="s">
        <v>7</v>
      </c>
      <c r="B105" s="14"/>
      <c r="C105" s="30"/>
      <c r="D105" s="15"/>
    </row>
    <row r="106" spans="1:4" ht="17" x14ac:dyDescent="0.2">
      <c r="A106" s="3" t="s">
        <v>166</v>
      </c>
      <c r="B106" s="4" t="s">
        <v>5</v>
      </c>
      <c r="C106" s="25" t="s">
        <v>117</v>
      </c>
      <c r="D106" t="s">
        <v>120</v>
      </c>
    </row>
    <row r="107" spans="1:4" ht="17" x14ac:dyDescent="0.2">
      <c r="A107" s="3" t="s">
        <v>169</v>
      </c>
      <c r="B107" s="4" t="s">
        <v>10</v>
      </c>
      <c r="C107" s="29" t="s">
        <v>61</v>
      </c>
      <c r="D107" t="s">
        <v>18</v>
      </c>
    </row>
    <row r="108" spans="1:4" ht="17" x14ac:dyDescent="0.2">
      <c r="A108" s="3" t="s">
        <v>170</v>
      </c>
      <c r="B108" s="4" t="s">
        <v>10</v>
      </c>
      <c r="C108" s="29" t="s">
        <v>16</v>
      </c>
      <c r="D108" t="s">
        <v>12</v>
      </c>
    </row>
    <row r="109" spans="1:4" ht="17" x14ac:dyDescent="0.2">
      <c r="A109" s="3" t="s">
        <v>171</v>
      </c>
      <c r="B109" s="4" t="s">
        <v>13</v>
      </c>
      <c r="C109" s="29" t="s">
        <v>15</v>
      </c>
      <c r="D109" t="s">
        <v>12</v>
      </c>
    </row>
    <row r="110" spans="1:4" x14ac:dyDescent="0.2">
      <c r="A110" s="13" t="s">
        <v>124</v>
      </c>
      <c r="B110" s="14"/>
      <c r="C110" s="30"/>
      <c r="D110" s="15"/>
    </row>
    <row r="111" spans="1:4" ht="17" x14ac:dyDescent="0.2">
      <c r="A111" s="3" t="s">
        <v>172</v>
      </c>
      <c r="B111" s="4" t="s">
        <v>10</v>
      </c>
      <c r="C111" s="29" t="s">
        <v>80</v>
      </c>
      <c r="D111" t="s">
        <v>126</v>
      </c>
    </row>
    <row r="112" spans="1:4" ht="17" x14ac:dyDescent="0.2">
      <c r="A112" s="3" t="s">
        <v>177</v>
      </c>
      <c r="B112" s="4" t="s">
        <v>5</v>
      </c>
      <c r="C112" s="25" t="s">
        <v>173</v>
      </c>
      <c r="D112" s="40" t="s">
        <v>176</v>
      </c>
    </row>
    <row r="113" spans="1:4" ht="17" x14ac:dyDescent="0.2">
      <c r="A113" s="3" t="s">
        <v>178</v>
      </c>
      <c r="B113" s="4" t="s">
        <v>5</v>
      </c>
      <c r="C113" s="25" t="s">
        <v>174</v>
      </c>
      <c r="D113" t="s">
        <v>284</v>
      </c>
    </row>
    <row r="114" spans="1:4" ht="17" x14ac:dyDescent="0.2">
      <c r="A114" s="3" t="s">
        <v>179</v>
      </c>
      <c r="B114" s="4" t="s">
        <v>5</v>
      </c>
      <c r="C114" s="25" t="s">
        <v>34</v>
      </c>
      <c r="D114" t="s">
        <v>135</v>
      </c>
    </row>
    <row r="115" spans="1:4" ht="17" x14ac:dyDescent="0.2">
      <c r="A115" s="3" t="s">
        <v>180</v>
      </c>
      <c r="B115" s="4" t="s">
        <v>13</v>
      </c>
      <c r="C115" s="25" t="s">
        <v>15</v>
      </c>
      <c r="D115" t="s">
        <v>142</v>
      </c>
    </row>
    <row r="116" spans="1:4" ht="17" x14ac:dyDescent="0.2">
      <c r="A116" s="3" t="s">
        <v>181</v>
      </c>
      <c r="B116" s="4" t="s">
        <v>10</v>
      </c>
      <c r="C116" s="29" t="s">
        <v>16</v>
      </c>
      <c r="D116" t="s">
        <v>148</v>
      </c>
    </row>
    <row r="117" spans="1:4" ht="17" x14ac:dyDescent="0.2">
      <c r="A117" s="3" t="s">
        <v>182</v>
      </c>
      <c r="B117" s="4" t="s">
        <v>10</v>
      </c>
      <c r="C117" s="29" t="s">
        <v>16</v>
      </c>
      <c r="D117" t="s">
        <v>12</v>
      </c>
    </row>
    <row r="118" spans="1:4" ht="17" x14ac:dyDescent="0.2">
      <c r="A118" s="3" t="s">
        <v>183</v>
      </c>
      <c r="B118" s="4" t="s">
        <v>13</v>
      </c>
      <c r="C118" s="25" t="s">
        <v>175</v>
      </c>
      <c r="D118" t="s">
        <v>186</v>
      </c>
    </row>
    <row r="119" spans="1:4" ht="17" x14ac:dyDescent="0.2">
      <c r="A119" s="3" t="s">
        <v>184</v>
      </c>
      <c r="B119" s="4" t="s">
        <v>5</v>
      </c>
      <c r="C119" s="25" t="s">
        <v>36</v>
      </c>
      <c r="D119" t="s">
        <v>144</v>
      </c>
    </row>
    <row r="120" spans="1:4" ht="17" x14ac:dyDescent="0.2">
      <c r="A120" s="3" t="s">
        <v>185</v>
      </c>
      <c r="B120" s="4" t="s">
        <v>5</v>
      </c>
      <c r="C120" s="25" t="s">
        <v>36</v>
      </c>
      <c r="D120" t="s">
        <v>145</v>
      </c>
    </row>
    <row r="121" spans="1:4" x14ac:dyDescent="0.2">
      <c r="A121" s="13" t="s">
        <v>146</v>
      </c>
      <c r="B121" s="14"/>
      <c r="C121" s="14"/>
      <c r="D121" s="14"/>
    </row>
    <row r="122" spans="1:4" ht="17" x14ac:dyDescent="0.2">
      <c r="A122" s="3" t="s">
        <v>187</v>
      </c>
      <c r="B122" s="4" t="s">
        <v>10</v>
      </c>
      <c r="C122" s="29" t="s">
        <v>79</v>
      </c>
      <c r="D122" t="s">
        <v>194</v>
      </c>
    </row>
    <row r="123" spans="1:4" ht="17" x14ac:dyDescent="0.2">
      <c r="A123" s="3" t="s">
        <v>188</v>
      </c>
      <c r="B123" s="4" t="s">
        <v>10</v>
      </c>
      <c r="C123" s="29" t="s">
        <v>16</v>
      </c>
      <c r="D123" t="s">
        <v>195</v>
      </c>
    </row>
    <row r="124" spans="1:4" ht="17" x14ac:dyDescent="0.2">
      <c r="A124" s="3" t="s">
        <v>189</v>
      </c>
      <c r="B124" s="4" t="s">
        <v>10</v>
      </c>
      <c r="C124" s="29" t="s">
        <v>17</v>
      </c>
      <c r="D124" t="s">
        <v>196</v>
      </c>
    </row>
    <row r="125" spans="1:4" ht="17" x14ac:dyDescent="0.2">
      <c r="A125" s="3" t="s">
        <v>190</v>
      </c>
      <c r="B125" s="4" t="s">
        <v>13</v>
      </c>
      <c r="C125" s="25" t="s">
        <v>73</v>
      </c>
      <c r="D125" t="s">
        <v>197</v>
      </c>
    </row>
    <row r="126" spans="1:4" ht="17" x14ac:dyDescent="0.2">
      <c r="A126" s="3" t="s">
        <v>191</v>
      </c>
      <c r="B126" s="4" t="s">
        <v>13</v>
      </c>
      <c r="C126" s="25" t="s">
        <v>75</v>
      </c>
      <c r="D126" t="s">
        <v>198</v>
      </c>
    </row>
    <row r="127" spans="1:4" ht="17" x14ac:dyDescent="0.2">
      <c r="A127" s="3" t="s">
        <v>192</v>
      </c>
      <c r="B127" s="4" t="s">
        <v>13</v>
      </c>
      <c r="C127" s="25" t="s">
        <v>15</v>
      </c>
      <c r="D127" t="s">
        <v>199</v>
      </c>
    </row>
    <row r="128" spans="1:4" ht="17" x14ac:dyDescent="0.2">
      <c r="A128" s="3" t="s">
        <v>193</v>
      </c>
      <c r="B128" s="4" t="s">
        <v>10</v>
      </c>
      <c r="C128" s="29" t="s">
        <v>16</v>
      </c>
      <c r="D128" t="s">
        <v>200</v>
      </c>
    </row>
    <row r="129" spans="1:4" x14ac:dyDescent="0.2">
      <c r="A129" s="13" t="s">
        <v>201</v>
      </c>
      <c r="B129" s="14"/>
      <c r="C129" s="14"/>
      <c r="D129" s="14"/>
    </row>
    <row r="130" spans="1:4" ht="17" x14ac:dyDescent="0.2">
      <c r="A130" s="3" t="s">
        <v>202</v>
      </c>
      <c r="B130" s="4" t="s">
        <v>203</v>
      </c>
      <c r="C130" s="29" t="s">
        <v>204</v>
      </c>
      <c r="D130" t="s">
        <v>205</v>
      </c>
    </row>
    <row r="131" spans="1:4" ht="17" x14ac:dyDescent="0.2">
      <c r="A131" s="3" t="s">
        <v>206</v>
      </c>
      <c r="B131" s="4" t="s">
        <v>208</v>
      </c>
      <c r="C131" s="25" t="s">
        <v>209</v>
      </c>
      <c r="D131" t="s">
        <v>296</v>
      </c>
    </row>
    <row r="132" spans="1:4" ht="17" x14ac:dyDescent="0.2">
      <c r="A132" s="3" t="s">
        <v>207</v>
      </c>
      <c r="B132" s="4" t="s">
        <v>208</v>
      </c>
      <c r="C132" s="25" t="s">
        <v>213</v>
      </c>
      <c r="D132" t="s">
        <v>295</v>
      </c>
    </row>
    <row r="133" spans="1:4" ht="17" x14ac:dyDescent="0.2">
      <c r="A133" s="3" t="s">
        <v>210</v>
      </c>
      <c r="B133" s="4" t="s">
        <v>13</v>
      </c>
      <c r="C133" s="25" t="s">
        <v>214</v>
      </c>
      <c r="D133" t="s">
        <v>297</v>
      </c>
    </row>
    <row r="134" spans="1:4" ht="17" x14ac:dyDescent="0.2">
      <c r="A134" s="3" t="s">
        <v>211</v>
      </c>
      <c r="B134" s="4" t="s">
        <v>13</v>
      </c>
      <c r="C134" s="25" t="s">
        <v>15</v>
      </c>
      <c r="D134" t="s">
        <v>216</v>
      </c>
    </row>
    <row r="135" spans="1:4" ht="17" x14ac:dyDescent="0.2">
      <c r="A135" s="3" t="s">
        <v>212</v>
      </c>
      <c r="B135" s="4" t="s">
        <v>13</v>
      </c>
      <c r="C135" s="25" t="s">
        <v>215</v>
      </c>
      <c r="D135" t="s">
        <v>217</v>
      </c>
    </row>
    <row r="136" spans="1:4" ht="17" x14ac:dyDescent="0.2">
      <c r="A136" s="3" t="s">
        <v>218</v>
      </c>
      <c r="B136" s="4" t="s">
        <v>13</v>
      </c>
      <c r="C136" s="25" t="s">
        <v>219</v>
      </c>
      <c r="D136" t="s">
        <v>230</v>
      </c>
    </row>
    <row r="137" spans="1:4" ht="17" x14ac:dyDescent="0.2">
      <c r="A137" s="3" t="s">
        <v>220</v>
      </c>
      <c r="B137" s="4" t="s">
        <v>5</v>
      </c>
      <c r="C137" s="25" t="s">
        <v>223</v>
      </c>
      <c r="D137" t="s">
        <v>231</v>
      </c>
    </row>
    <row r="138" spans="1:4" ht="17" x14ac:dyDescent="0.2">
      <c r="A138" s="3" t="s">
        <v>221</v>
      </c>
      <c r="B138" s="4" t="s">
        <v>13</v>
      </c>
      <c r="C138" s="25" t="s">
        <v>224</v>
      </c>
      <c r="D138" t="s">
        <v>232</v>
      </c>
    </row>
    <row r="139" spans="1:4" ht="17" x14ac:dyDescent="0.2">
      <c r="A139" s="3" t="s">
        <v>222</v>
      </c>
      <c r="B139" s="4" t="s">
        <v>13</v>
      </c>
      <c r="C139" s="25" t="s">
        <v>226</v>
      </c>
      <c r="D139" t="s">
        <v>233</v>
      </c>
    </row>
    <row r="140" spans="1:4" ht="17" x14ac:dyDescent="0.2">
      <c r="A140" s="3" t="s">
        <v>225</v>
      </c>
      <c r="B140" s="4" t="s">
        <v>13</v>
      </c>
      <c r="C140" s="25" t="s">
        <v>227</v>
      </c>
      <c r="D140" t="s">
        <v>234</v>
      </c>
    </row>
    <row r="141" spans="1:4" ht="17" x14ac:dyDescent="0.2">
      <c r="A141" s="3" t="s">
        <v>229</v>
      </c>
      <c r="B141" s="4" t="s">
        <v>13</v>
      </c>
      <c r="C141" s="25" t="s">
        <v>228</v>
      </c>
      <c r="D141" t="s">
        <v>235</v>
      </c>
    </row>
    <row r="142" spans="1:4" ht="17" x14ac:dyDescent="0.2">
      <c r="A142" s="3" t="s">
        <v>237</v>
      </c>
      <c r="B142" s="4" t="s">
        <v>13</v>
      </c>
      <c r="C142" s="25" t="s">
        <v>15</v>
      </c>
      <c r="D142" t="s">
        <v>242</v>
      </c>
    </row>
    <row r="143" spans="1:4" x14ac:dyDescent="0.2">
      <c r="A143" s="13" t="s">
        <v>236</v>
      </c>
      <c r="B143" s="14"/>
      <c r="C143" s="14"/>
      <c r="D143" s="14"/>
    </row>
    <row r="144" spans="1:4" ht="17" x14ac:dyDescent="0.2">
      <c r="A144" s="3" t="s">
        <v>238</v>
      </c>
      <c r="B144" s="4" t="s">
        <v>13</v>
      </c>
      <c r="C144" s="25" t="s">
        <v>240</v>
      </c>
      <c r="D144" t="s">
        <v>244</v>
      </c>
    </row>
    <row r="145" spans="1:4" ht="17" x14ac:dyDescent="0.2">
      <c r="A145" s="3" t="s">
        <v>239</v>
      </c>
      <c r="B145" s="4" t="s">
        <v>13</v>
      </c>
      <c r="C145" s="25" t="s">
        <v>241</v>
      </c>
      <c r="D145" t="s">
        <v>245</v>
      </c>
    </row>
    <row r="146" spans="1:4" ht="17" x14ac:dyDescent="0.2">
      <c r="A146" s="3" t="s">
        <v>247</v>
      </c>
      <c r="B146" s="4" t="s">
        <v>13</v>
      </c>
      <c r="C146" s="25" t="s">
        <v>243</v>
      </c>
      <c r="D146" t="s">
        <v>246</v>
      </c>
    </row>
    <row r="148" spans="1:4" ht="17" x14ac:dyDescent="0.2">
      <c r="A148" s="3" t="s">
        <v>248</v>
      </c>
      <c r="B148" s="4" t="s">
        <v>13</v>
      </c>
      <c r="C148" s="25" t="s">
        <v>15</v>
      </c>
      <c r="D148" t="s">
        <v>268</v>
      </c>
    </row>
    <row r="149" spans="1:4" ht="17" x14ac:dyDescent="0.2">
      <c r="A149" s="3" t="s">
        <v>249</v>
      </c>
      <c r="B149" s="4" t="s">
        <v>13</v>
      </c>
      <c r="C149" s="25" t="s">
        <v>15</v>
      </c>
      <c r="D149" t="s">
        <v>269</v>
      </c>
    </row>
    <row r="150" spans="1:4" ht="17" x14ac:dyDescent="0.2">
      <c r="A150" s="3" t="s">
        <v>250</v>
      </c>
      <c r="B150" s="4" t="s">
        <v>10</v>
      </c>
      <c r="C150" s="29" t="s">
        <v>16</v>
      </c>
      <c r="D150" t="s">
        <v>270</v>
      </c>
    </row>
    <row r="151" spans="1:4" ht="17" x14ac:dyDescent="0.2">
      <c r="A151" s="3" t="s">
        <v>251</v>
      </c>
      <c r="B151" s="4" t="s">
        <v>13</v>
      </c>
      <c r="C151" s="25" t="s">
        <v>15</v>
      </c>
      <c r="D151" t="s">
        <v>271</v>
      </c>
    </row>
    <row r="152" spans="1:4" ht="17" x14ac:dyDescent="0.2">
      <c r="A152" s="3" t="s">
        <v>252</v>
      </c>
      <c r="B152" s="4" t="s">
        <v>13</v>
      </c>
      <c r="C152" s="25" t="s">
        <v>15</v>
      </c>
      <c r="D152" t="s">
        <v>272</v>
      </c>
    </row>
    <row r="153" spans="1:4" ht="17" x14ac:dyDescent="0.2">
      <c r="A153" s="3" t="s">
        <v>253</v>
      </c>
      <c r="B153" s="4" t="s">
        <v>13</v>
      </c>
      <c r="C153" s="25" t="s">
        <v>15</v>
      </c>
      <c r="D153" t="s">
        <v>273</v>
      </c>
    </row>
    <row r="154" spans="1:4" ht="17" x14ac:dyDescent="0.2">
      <c r="A154" s="3" t="s">
        <v>254</v>
      </c>
      <c r="B154" s="4" t="s">
        <v>10</v>
      </c>
      <c r="C154" s="29" t="s">
        <v>16</v>
      </c>
      <c r="D154" t="s">
        <v>274</v>
      </c>
    </row>
    <row r="155" spans="1:4" ht="17" x14ac:dyDescent="0.2">
      <c r="A155" s="3" t="s">
        <v>255</v>
      </c>
      <c r="B155" s="4" t="s">
        <v>10</v>
      </c>
      <c r="C155" s="29" t="s">
        <v>80</v>
      </c>
      <c r="D155" t="s">
        <v>278</v>
      </c>
    </row>
    <row r="156" spans="1:4" ht="17" x14ac:dyDescent="0.2">
      <c r="A156" s="3" t="s">
        <v>256</v>
      </c>
      <c r="B156" s="4" t="s">
        <v>13</v>
      </c>
      <c r="C156" s="25" t="s">
        <v>15</v>
      </c>
      <c r="D156" t="s">
        <v>275</v>
      </c>
    </row>
    <row r="157" spans="1:4" ht="17" x14ac:dyDescent="0.2">
      <c r="A157" s="3" t="s">
        <v>257</v>
      </c>
      <c r="B157" s="4" t="s">
        <v>13</v>
      </c>
      <c r="C157" s="25" t="s">
        <v>15</v>
      </c>
      <c r="D157" t="s">
        <v>276</v>
      </c>
    </row>
    <row r="158" spans="1:4" ht="17" x14ac:dyDescent="0.2">
      <c r="A158" s="3" t="s">
        <v>258</v>
      </c>
      <c r="B158" s="4" t="s">
        <v>13</v>
      </c>
      <c r="C158" s="25" t="s">
        <v>15</v>
      </c>
      <c r="D158" t="s">
        <v>277</v>
      </c>
    </row>
    <row r="159" spans="1:4" ht="17" x14ac:dyDescent="0.2">
      <c r="A159" s="3" t="s">
        <v>259</v>
      </c>
      <c r="B159" s="4" t="s">
        <v>10</v>
      </c>
      <c r="C159" s="29" t="s">
        <v>16</v>
      </c>
      <c r="D159" t="s">
        <v>279</v>
      </c>
    </row>
    <row r="160" spans="1:4" ht="17" x14ac:dyDescent="0.2">
      <c r="A160" s="3" t="s">
        <v>260</v>
      </c>
      <c r="B160" s="4" t="s">
        <v>10</v>
      </c>
      <c r="C160" s="29" t="s">
        <v>264</v>
      </c>
      <c r="D160" t="s">
        <v>12</v>
      </c>
    </row>
    <row r="161" spans="1:4" ht="17" x14ac:dyDescent="0.2">
      <c r="A161" s="3" t="s">
        <v>261</v>
      </c>
      <c r="B161" s="4" t="s">
        <v>13</v>
      </c>
      <c r="C161" s="25" t="s">
        <v>265</v>
      </c>
      <c r="D161" t="s">
        <v>280</v>
      </c>
    </row>
    <row r="162" spans="1:4" ht="17" x14ac:dyDescent="0.2">
      <c r="A162" s="3" t="s">
        <v>262</v>
      </c>
      <c r="B162" s="4" t="s">
        <v>13</v>
      </c>
      <c r="C162" s="25" t="s">
        <v>266</v>
      </c>
      <c r="D162" t="s">
        <v>281</v>
      </c>
    </row>
    <row r="163" spans="1:4" ht="17" x14ac:dyDescent="0.2">
      <c r="A163" s="3" t="s">
        <v>263</v>
      </c>
      <c r="B163" s="4" t="s">
        <v>13</v>
      </c>
      <c r="C163" s="25" t="s">
        <v>267</v>
      </c>
      <c r="D163" t="s">
        <v>12</v>
      </c>
    </row>
    <row r="165" spans="1:4" x14ac:dyDescent="0.2">
      <c r="A165" s="41" t="s">
        <v>283</v>
      </c>
      <c r="B165" s="42"/>
      <c r="C165" s="43"/>
      <c r="D165" s="44"/>
    </row>
    <row r="166" spans="1:4" x14ac:dyDescent="0.2">
      <c r="A166" s="3" t="s">
        <v>282</v>
      </c>
    </row>
    <row r="168" spans="1:4" x14ac:dyDescent="0.2">
      <c r="A168" s="50" t="s">
        <v>168</v>
      </c>
      <c r="B168" s="52"/>
      <c r="C168" s="53"/>
      <c r="D168" s="54"/>
    </row>
    <row r="169" spans="1:4" x14ac:dyDescent="0.2">
      <c r="A169" s="50" t="s">
        <v>7</v>
      </c>
      <c r="B169" s="52"/>
      <c r="C169" s="53"/>
      <c r="D169" s="54"/>
    </row>
    <row r="170" spans="1:4" ht="17" x14ac:dyDescent="0.2">
      <c r="A170" s="55" t="s">
        <v>285</v>
      </c>
      <c r="B170" s="56" t="s">
        <v>5</v>
      </c>
      <c r="C170" s="45" t="s">
        <v>117</v>
      </c>
      <c r="D170" s="51" t="s">
        <v>120</v>
      </c>
    </row>
    <row r="171" spans="1:4" ht="17" x14ac:dyDescent="0.2">
      <c r="A171" s="55" t="s">
        <v>298</v>
      </c>
      <c r="B171" s="56" t="s">
        <v>10</v>
      </c>
      <c r="C171" s="58" t="s">
        <v>61</v>
      </c>
      <c r="D171" s="51" t="s">
        <v>18</v>
      </c>
    </row>
    <row r="172" spans="1:4" ht="17" x14ac:dyDescent="0.2">
      <c r="A172" s="55" t="s">
        <v>300</v>
      </c>
      <c r="B172" s="56" t="s">
        <v>10</v>
      </c>
      <c r="C172" s="58" t="s">
        <v>16</v>
      </c>
      <c r="D172" s="51" t="s">
        <v>12</v>
      </c>
    </row>
    <row r="173" spans="1:4" ht="17" x14ac:dyDescent="0.2">
      <c r="A173" s="55" t="s">
        <v>301</v>
      </c>
      <c r="B173" s="56" t="s">
        <v>13</v>
      </c>
      <c r="C173" s="45" t="s">
        <v>15</v>
      </c>
      <c r="D173" s="51" t="s">
        <v>12</v>
      </c>
    </row>
    <row r="174" spans="1:4" x14ac:dyDescent="0.2">
      <c r="A174" s="50" t="s">
        <v>124</v>
      </c>
      <c r="B174" s="52"/>
      <c r="C174" s="53"/>
      <c r="D174" s="54"/>
    </row>
    <row r="175" spans="1:4" ht="17" x14ac:dyDescent="0.2">
      <c r="A175" s="55" t="s">
        <v>302</v>
      </c>
      <c r="B175" s="56" t="s">
        <v>10</v>
      </c>
      <c r="C175" s="58" t="s">
        <v>80</v>
      </c>
      <c r="D175" s="51" t="s">
        <v>126</v>
      </c>
    </row>
    <row r="176" spans="1:4" ht="17" x14ac:dyDescent="0.2">
      <c r="A176" s="55" t="s">
        <v>303</v>
      </c>
      <c r="B176" s="56" t="s">
        <v>5</v>
      </c>
      <c r="C176" s="45" t="s">
        <v>326</v>
      </c>
      <c r="D176" s="57" t="s">
        <v>327</v>
      </c>
    </row>
    <row r="177" spans="1:4" ht="17" x14ac:dyDescent="0.2">
      <c r="A177" s="55" t="s">
        <v>304</v>
      </c>
      <c r="B177" s="56" t="s">
        <v>5</v>
      </c>
      <c r="C177" s="45" t="s">
        <v>328</v>
      </c>
      <c r="D177" s="51" t="s">
        <v>329</v>
      </c>
    </row>
    <row r="178" spans="1:4" ht="17" x14ac:dyDescent="0.2">
      <c r="A178" s="55" t="s">
        <v>305</v>
      </c>
      <c r="B178" s="56" t="s">
        <v>5</v>
      </c>
      <c r="C178" s="45" t="s">
        <v>34</v>
      </c>
      <c r="D178" s="51" t="s">
        <v>135</v>
      </c>
    </row>
    <row r="179" spans="1:4" ht="17" x14ac:dyDescent="0.2">
      <c r="A179" s="55" t="s">
        <v>306</v>
      </c>
      <c r="B179" s="56" t="s">
        <v>13</v>
      </c>
      <c r="C179" s="45" t="s">
        <v>15</v>
      </c>
      <c r="D179" s="51" t="s">
        <v>142</v>
      </c>
    </row>
    <row r="180" spans="1:4" ht="17" x14ac:dyDescent="0.2">
      <c r="A180" s="55" t="s">
        <v>307</v>
      </c>
      <c r="B180" s="56" t="s">
        <v>10</v>
      </c>
      <c r="C180" s="58" t="s">
        <v>16</v>
      </c>
      <c r="D180" s="51" t="s">
        <v>148</v>
      </c>
    </row>
    <row r="181" spans="1:4" ht="17" x14ac:dyDescent="0.2">
      <c r="A181" s="55" t="s">
        <v>308</v>
      </c>
      <c r="B181" s="56" t="s">
        <v>10</v>
      </c>
      <c r="C181" s="58" t="s">
        <v>16</v>
      </c>
      <c r="D181" s="51" t="s">
        <v>12</v>
      </c>
    </row>
    <row r="182" spans="1:4" ht="17" x14ac:dyDescent="0.2">
      <c r="A182" s="55" t="s">
        <v>309</v>
      </c>
      <c r="B182" s="56" t="s">
        <v>13</v>
      </c>
      <c r="C182" s="45" t="s">
        <v>330</v>
      </c>
      <c r="D182" s="51" t="s">
        <v>331</v>
      </c>
    </row>
    <row r="183" spans="1:4" ht="17" x14ac:dyDescent="0.2">
      <c r="A183" s="55" t="s">
        <v>310</v>
      </c>
      <c r="B183" s="56" t="s">
        <v>5</v>
      </c>
      <c r="C183" s="45" t="s">
        <v>36</v>
      </c>
      <c r="D183" s="51" t="s">
        <v>144</v>
      </c>
    </row>
    <row r="184" spans="1:4" ht="17" x14ac:dyDescent="0.2">
      <c r="A184" s="55" t="s">
        <v>311</v>
      </c>
      <c r="B184" s="56" t="s">
        <v>5</v>
      </c>
      <c r="C184" s="45" t="s">
        <v>36</v>
      </c>
      <c r="D184" s="51" t="s">
        <v>145</v>
      </c>
    </row>
    <row r="185" spans="1:4" x14ac:dyDescent="0.2">
      <c r="A185" s="50" t="s">
        <v>146</v>
      </c>
      <c r="B185" s="52"/>
      <c r="C185" s="52"/>
      <c r="D185" s="52"/>
    </row>
    <row r="186" spans="1:4" ht="17" x14ac:dyDescent="0.2">
      <c r="A186" s="55" t="s">
        <v>312</v>
      </c>
      <c r="B186" s="56" t="s">
        <v>10</v>
      </c>
      <c r="C186" s="58" t="s">
        <v>79</v>
      </c>
      <c r="D186" s="51" t="s">
        <v>194</v>
      </c>
    </row>
    <row r="187" spans="1:4" ht="17" x14ac:dyDescent="0.2">
      <c r="A187" s="55" t="s">
        <v>313</v>
      </c>
      <c r="B187" s="56" t="s">
        <v>10</v>
      </c>
      <c r="C187" s="58" t="s">
        <v>17</v>
      </c>
      <c r="D187" s="51" t="s">
        <v>299</v>
      </c>
    </row>
    <row r="188" spans="1:4" ht="17" x14ac:dyDescent="0.2">
      <c r="A188" s="55" t="s">
        <v>314</v>
      </c>
      <c r="B188" s="56" t="s">
        <v>10</v>
      </c>
      <c r="C188" s="58" t="s">
        <v>17</v>
      </c>
      <c r="D188" s="51" t="s">
        <v>196</v>
      </c>
    </row>
    <row r="189" spans="1:4" ht="17" x14ac:dyDescent="0.2">
      <c r="A189" s="55" t="s">
        <v>315</v>
      </c>
      <c r="B189" s="56" t="s">
        <v>13</v>
      </c>
      <c r="C189" s="45" t="s">
        <v>73</v>
      </c>
      <c r="D189" s="51" t="s">
        <v>197</v>
      </c>
    </row>
    <row r="190" spans="1:4" ht="17" x14ac:dyDescent="0.2">
      <c r="A190" s="55" t="s">
        <v>316</v>
      </c>
      <c r="B190" s="56" t="s">
        <v>13</v>
      </c>
      <c r="C190" s="45" t="s">
        <v>75</v>
      </c>
      <c r="D190" s="51" t="s">
        <v>198</v>
      </c>
    </row>
    <row r="191" spans="1:4" ht="17" x14ac:dyDescent="0.2">
      <c r="A191" s="55" t="s">
        <v>317</v>
      </c>
      <c r="B191" s="56" t="s">
        <v>13</v>
      </c>
      <c r="C191" s="45" t="s">
        <v>15</v>
      </c>
      <c r="D191" s="51" t="s">
        <v>199</v>
      </c>
    </row>
    <row r="192" spans="1:4" ht="17" x14ac:dyDescent="0.2">
      <c r="A192" s="55" t="s">
        <v>318</v>
      </c>
      <c r="B192" s="56" t="s">
        <v>10</v>
      </c>
      <c r="C192" s="58" t="s">
        <v>16</v>
      </c>
      <c r="D192" s="51" t="s">
        <v>200</v>
      </c>
    </row>
    <row r="193" spans="1:4" x14ac:dyDescent="0.2">
      <c r="A193" s="50" t="s">
        <v>201</v>
      </c>
      <c r="B193" s="52"/>
      <c r="C193" s="52"/>
      <c r="D193" s="52"/>
    </row>
    <row r="194" spans="1:4" ht="17" x14ac:dyDescent="0.2">
      <c r="A194" s="55" t="s">
        <v>319</v>
      </c>
      <c r="B194" s="56" t="s">
        <v>203</v>
      </c>
      <c r="C194" s="58" t="s">
        <v>204</v>
      </c>
      <c r="D194" s="51" t="s">
        <v>205</v>
      </c>
    </row>
    <row r="195" spans="1:4" ht="17" x14ac:dyDescent="0.2">
      <c r="A195" s="55" t="s">
        <v>332</v>
      </c>
      <c r="B195" s="56" t="s">
        <v>208</v>
      </c>
      <c r="C195" s="45" t="s">
        <v>209</v>
      </c>
      <c r="D195" s="51" t="s">
        <v>296</v>
      </c>
    </row>
    <row r="196" spans="1:4" ht="17" x14ac:dyDescent="0.2">
      <c r="A196" s="55" t="s">
        <v>320</v>
      </c>
      <c r="B196" s="56" t="s">
        <v>208</v>
      </c>
      <c r="C196" s="45" t="s">
        <v>213</v>
      </c>
      <c r="D196" s="51" t="s">
        <v>295</v>
      </c>
    </row>
    <row r="197" spans="1:4" ht="17" x14ac:dyDescent="0.2">
      <c r="A197" s="55" t="s">
        <v>333</v>
      </c>
      <c r="B197" s="56" t="s">
        <v>13</v>
      </c>
      <c r="C197" s="45" t="s">
        <v>214</v>
      </c>
      <c r="D197" s="51" t="s">
        <v>297</v>
      </c>
    </row>
    <row r="198" spans="1:4" ht="17" x14ac:dyDescent="0.2">
      <c r="A198" s="55" t="s">
        <v>334</v>
      </c>
      <c r="B198" s="56" t="s">
        <v>13</v>
      </c>
      <c r="C198" s="45" t="s">
        <v>15</v>
      </c>
      <c r="D198" s="51" t="s">
        <v>216</v>
      </c>
    </row>
    <row r="199" spans="1:4" ht="17" x14ac:dyDescent="0.2">
      <c r="A199" s="55" t="s">
        <v>335</v>
      </c>
      <c r="B199" s="56" t="s">
        <v>13</v>
      </c>
      <c r="C199" s="45" t="s">
        <v>215</v>
      </c>
      <c r="D199" s="51" t="s">
        <v>217</v>
      </c>
    </row>
    <row r="200" spans="1:4" ht="17" x14ac:dyDescent="0.2">
      <c r="A200" s="55" t="s">
        <v>336</v>
      </c>
      <c r="B200" s="56" t="s">
        <v>13</v>
      </c>
      <c r="C200" s="45" t="s">
        <v>219</v>
      </c>
      <c r="D200" s="51" t="s">
        <v>230</v>
      </c>
    </row>
    <row r="201" spans="1:4" ht="17" x14ac:dyDescent="0.2">
      <c r="A201" s="55" t="s">
        <v>337</v>
      </c>
      <c r="B201" s="56" t="s">
        <v>5</v>
      </c>
      <c r="C201" s="45" t="s">
        <v>223</v>
      </c>
      <c r="D201" s="51" t="s">
        <v>231</v>
      </c>
    </row>
    <row r="202" spans="1:4" ht="17" x14ac:dyDescent="0.2">
      <c r="A202" s="55" t="s">
        <v>338</v>
      </c>
      <c r="B202" s="56" t="s">
        <v>13</v>
      </c>
      <c r="C202" s="45" t="s">
        <v>224</v>
      </c>
      <c r="D202" s="51" t="s">
        <v>232</v>
      </c>
    </row>
    <row r="203" spans="1:4" ht="17" x14ac:dyDescent="0.2">
      <c r="A203" s="55" t="s">
        <v>339</v>
      </c>
      <c r="B203" s="56" t="s">
        <v>13</v>
      </c>
      <c r="C203" s="45" t="s">
        <v>226</v>
      </c>
      <c r="D203" s="51" t="s">
        <v>233</v>
      </c>
    </row>
    <row r="204" spans="1:4" ht="17" x14ac:dyDescent="0.2">
      <c r="A204" s="55" t="s">
        <v>340</v>
      </c>
      <c r="B204" s="56" t="s">
        <v>13</v>
      </c>
      <c r="C204" s="45" t="s">
        <v>227</v>
      </c>
      <c r="D204" s="51" t="s">
        <v>234</v>
      </c>
    </row>
    <row r="205" spans="1:4" ht="17" x14ac:dyDescent="0.2">
      <c r="A205" s="55" t="s">
        <v>341</v>
      </c>
      <c r="B205" s="56" t="s">
        <v>13</v>
      </c>
      <c r="C205" s="45" t="s">
        <v>228</v>
      </c>
      <c r="D205" s="51" t="s">
        <v>235</v>
      </c>
    </row>
    <row r="206" spans="1:4" ht="17" x14ac:dyDescent="0.2">
      <c r="A206" s="55" t="s">
        <v>342</v>
      </c>
      <c r="B206" s="56" t="s">
        <v>13</v>
      </c>
      <c r="C206" s="45" t="s">
        <v>15</v>
      </c>
      <c r="D206" s="51" t="s">
        <v>242</v>
      </c>
    </row>
    <row r="207" spans="1:4" x14ac:dyDescent="0.2">
      <c r="A207" s="50" t="s">
        <v>236</v>
      </c>
      <c r="B207" s="52"/>
      <c r="C207" s="52"/>
      <c r="D207" s="52"/>
    </row>
    <row r="208" spans="1:4" ht="17" x14ac:dyDescent="0.2">
      <c r="A208" s="55" t="s">
        <v>343</v>
      </c>
      <c r="B208" s="56" t="s">
        <v>13</v>
      </c>
      <c r="C208" s="45" t="s">
        <v>240</v>
      </c>
      <c r="D208" s="51" t="s">
        <v>244</v>
      </c>
    </row>
    <row r="209" spans="1:4" ht="17" x14ac:dyDescent="0.2">
      <c r="A209" s="55" t="s">
        <v>344</v>
      </c>
      <c r="B209" s="56" t="s">
        <v>13</v>
      </c>
      <c r="C209" s="45" t="s">
        <v>241</v>
      </c>
      <c r="D209" s="51" t="s">
        <v>245</v>
      </c>
    </row>
    <row r="210" spans="1:4" ht="17" x14ac:dyDescent="0.2">
      <c r="A210" s="55" t="s">
        <v>345</v>
      </c>
      <c r="B210" s="56" t="s">
        <v>13</v>
      </c>
      <c r="C210" s="45" t="s">
        <v>243</v>
      </c>
      <c r="D210" s="51" t="s">
        <v>246</v>
      </c>
    </row>
    <row r="211" spans="1:4" x14ac:dyDescent="0.2">
      <c r="A211" s="55"/>
      <c r="B211" s="56"/>
      <c r="C211" s="45"/>
      <c r="D211" s="51"/>
    </row>
    <row r="212" spans="1:4" ht="17" x14ac:dyDescent="0.2">
      <c r="A212" s="55" t="s">
        <v>346</v>
      </c>
      <c r="B212" s="56" t="s">
        <v>13</v>
      </c>
      <c r="C212" s="45" t="s">
        <v>15</v>
      </c>
      <c r="D212" s="51" t="s">
        <v>268</v>
      </c>
    </row>
    <row r="213" spans="1:4" ht="17" x14ac:dyDescent="0.2">
      <c r="A213" s="55" t="s">
        <v>347</v>
      </c>
      <c r="B213" s="56" t="s">
        <v>13</v>
      </c>
      <c r="C213" s="45" t="s">
        <v>15</v>
      </c>
      <c r="D213" s="51" t="s">
        <v>269</v>
      </c>
    </row>
    <row r="214" spans="1:4" ht="17" x14ac:dyDescent="0.2">
      <c r="A214" s="55" t="s">
        <v>321</v>
      </c>
      <c r="B214" s="56" t="s">
        <v>10</v>
      </c>
      <c r="C214" s="58" t="s">
        <v>16</v>
      </c>
      <c r="D214" s="51" t="s">
        <v>270</v>
      </c>
    </row>
    <row r="215" spans="1:4" ht="17" x14ac:dyDescent="0.2">
      <c r="A215" s="55" t="s">
        <v>348</v>
      </c>
      <c r="B215" s="56" t="s">
        <v>13</v>
      </c>
      <c r="C215" s="45" t="s">
        <v>15</v>
      </c>
      <c r="D215" s="51" t="s">
        <v>271</v>
      </c>
    </row>
    <row r="216" spans="1:4" ht="17" x14ac:dyDescent="0.2">
      <c r="A216" s="55" t="s">
        <v>349</v>
      </c>
      <c r="B216" s="56" t="s">
        <v>13</v>
      </c>
      <c r="C216" s="45" t="s">
        <v>15</v>
      </c>
      <c r="D216" s="51" t="s">
        <v>272</v>
      </c>
    </row>
    <row r="217" spans="1:4" ht="17" x14ac:dyDescent="0.2">
      <c r="A217" s="55" t="s">
        <v>350</v>
      </c>
      <c r="B217" s="56" t="s">
        <v>13</v>
      </c>
      <c r="C217" s="45" t="s">
        <v>15</v>
      </c>
      <c r="D217" s="51" t="s">
        <v>273</v>
      </c>
    </row>
    <row r="218" spans="1:4" ht="17" x14ac:dyDescent="0.2">
      <c r="A218" s="55" t="s">
        <v>322</v>
      </c>
      <c r="B218" s="56" t="s">
        <v>10</v>
      </c>
      <c r="C218" s="58" t="s">
        <v>16</v>
      </c>
      <c r="D218" s="51" t="s">
        <v>274</v>
      </c>
    </row>
    <row r="219" spans="1:4" ht="17" x14ac:dyDescent="0.2">
      <c r="A219" s="55" t="s">
        <v>323</v>
      </c>
      <c r="B219" s="56" t="s">
        <v>10</v>
      </c>
      <c r="C219" s="58" t="s">
        <v>80</v>
      </c>
      <c r="D219" s="51" t="s">
        <v>278</v>
      </c>
    </row>
    <row r="220" spans="1:4" ht="17" x14ac:dyDescent="0.2">
      <c r="A220" s="55" t="s">
        <v>351</v>
      </c>
      <c r="B220" s="56" t="s">
        <v>13</v>
      </c>
      <c r="C220" s="45" t="s">
        <v>15</v>
      </c>
      <c r="D220" s="51" t="s">
        <v>275</v>
      </c>
    </row>
    <row r="221" spans="1:4" ht="17" x14ac:dyDescent="0.2">
      <c r="A221" s="55" t="s">
        <v>352</v>
      </c>
      <c r="B221" s="56" t="s">
        <v>13</v>
      </c>
      <c r="C221" s="45" t="s">
        <v>15</v>
      </c>
      <c r="D221" s="51" t="s">
        <v>276</v>
      </c>
    </row>
    <row r="222" spans="1:4" ht="17" x14ac:dyDescent="0.2">
      <c r="A222" s="55" t="s">
        <v>353</v>
      </c>
      <c r="B222" s="56" t="s">
        <v>13</v>
      </c>
      <c r="C222" s="45" t="s">
        <v>15</v>
      </c>
      <c r="D222" s="51" t="s">
        <v>277</v>
      </c>
    </row>
    <row r="223" spans="1:4" ht="17" x14ac:dyDescent="0.2">
      <c r="A223" s="55" t="s">
        <v>324</v>
      </c>
      <c r="B223" s="56" t="s">
        <v>10</v>
      </c>
      <c r="C223" s="58" t="s">
        <v>16</v>
      </c>
      <c r="D223" s="51" t="s">
        <v>279</v>
      </c>
    </row>
    <row r="224" spans="1:4" ht="17" x14ac:dyDescent="0.2">
      <c r="A224" s="55" t="s">
        <v>325</v>
      </c>
      <c r="B224" s="56" t="s">
        <v>10</v>
      </c>
      <c r="C224" s="45" t="s">
        <v>264</v>
      </c>
      <c r="D224" s="51" t="s">
        <v>12</v>
      </c>
    </row>
    <row r="225" spans="1:4" ht="17" x14ac:dyDescent="0.2">
      <c r="A225" s="55" t="s">
        <v>354</v>
      </c>
      <c r="B225" s="56" t="s">
        <v>13</v>
      </c>
      <c r="C225" s="45" t="s">
        <v>265</v>
      </c>
      <c r="D225" s="51" t="s">
        <v>280</v>
      </c>
    </row>
    <row r="226" spans="1:4" ht="17" x14ac:dyDescent="0.2">
      <c r="A226" s="55" t="s">
        <v>355</v>
      </c>
      <c r="B226" s="56" t="s">
        <v>13</v>
      </c>
      <c r="C226" s="45" t="s">
        <v>266</v>
      </c>
      <c r="D226" s="51" t="s">
        <v>281</v>
      </c>
    </row>
    <row r="227" spans="1:4" ht="17" x14ac:dyDescent="0.2">
      <c r="A227" s="55" t="s">
        <v>356</v>
      </c>
      <c r="B227" s="56" t="s">
        <v>13</v>
      </c>
      <c r="C227" s="45" t="s">
        <v>267</v>
      </c>
      <c r="D227" s="51" t="s">
        <v>12</v>
      </c>
    </row>
  </sheetData>
  <pageMargins left="0.7" right="0.7" top="0.75" bottom="0.75" header="0.3" footer="0.3"/>
  <pageSetup paperSize="9" scale="6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E9BB-EE26-CF41-9E13-A2C793E50F24}">
  <dimension ref="A1:N170"/>
  <sheetViews>
    <sheetView workbookViewId="0">
      <selection activeCell="C10" sqref="C10"/>
    </sheetView>
  </sheetViews>
  <sheetFormatPr baseColWidth="10" defaultRowHeight="16" x14ac:dyDescent="0.2"/>
  <cols>
    <col min="2" max="2" width="17.33203125" bestFit="1" customWidth="1"/>
    <col min="5" max="5" width="12.1640625" bestFit="1" customWidth="1"/>
    <col min="13" max="14" width="0" hidden="1" customWidth="1"/>
  </cols>
  <sheetData>
    <row r="1" spans="1:14" x14ac:dyDescent="0.2">
      <c r="A1" t="s">
        <v>286</v>
      </c>
      <c r="B1" s="49" t="s">
        <v>287</v>
      </c>
      <c r="M1" t="str">
        <f>MID($E$7,ROW(M1),1)</f>
        <v>1</v>
      </c>
      <c r="N1">
        <f>1/(2^ROW(M1)) *M1</f>
        <v>0.5</v>
      </c>
    </row>
    <row r="2" spans="1:14" x14ac:dyDescent="0.2">
      <c r="A2" s="3" t="s">
        <v>288</v>
      </c>
      <c r="B2" s="48" t="str">
        <f>IF(LEN(HEX2BIN(LEFT($B$1,2))&lt;8),REPT("0", 8- LEN(HEX2BIN(LEFT($B$1,2)))) &amp; HEX2BIN(LEFT($B$1,2)), HEX2BIN(LEFT($B$1,2)))</f>
        <v>01000000</v>
      </c>
      <c r="C2" s="48" t="str">
        <f>IF(LEN(HEX2BIN(MID($B$1,3,2))&lt;8),REPT("0", 8- LEN(HEX2BIN(MID($B$1,3,2)))) &amp; HEX2BIN(MID($B$1,3,2)), HEX2BIN(MID($B$1,3,2)))</f>
        <v>01011101</v>
      </c>
      <c r="D2" s="48" t="str">
        <f>IF(LEN(HEX2BIN(MID($B$1,5,2))&lt;8),REPT("0", 8- LEN(HEX2BIN(MID($B$1,5,2)))) &amp; HEX2BIN(MID($B$1,5,2)), HEX2BIN(MID($B$1,5,2)))</f>
        <v>11100011</v>
      </c>
      <c r="E2" s="48" t="str">
        <f>IF(LEN(HEX2BIN(MID($B$1,7,2))&lt;8),REPT("0", 8- LEN(HEX2BIN(MID($B$1,7,2)))) &amp; HEX2BIN(MID($B$1,7,2)), HEX2BIN(MID($B$1,7,2)))</f>
        <v>10110001</v>
      </c>
      <c r="F2" s="48" t="str">
        <f>IF(LEN(HEX2BIN(MID($B$1,9,2))&lt;8),REPT("0", 8- LEN(HEX2BIN(MID($B$1,9,2)))) &amp; HEX2BIN(MID($B$1,9,2)), HEX2BIN(MID($B$1,9,2)))</f>
        <v>00110001</v>
      </c>
      <c r="G2" s="48" t="str">
        <f>IF(LEN(HEX2BIN(MID($B$1,11,2))&lt;8),REPT("0", 8- LEN(HEX2BIN(MID($B$1,11,2)))) &amp; HEX2BIN(MID($B$1,11,2)), HEX2BIN(MID($B$1,11,2)))</f>
        <v>01100101</v>
      </c>
      <c r="H2" s="48" t="str">
        <f>IF(LEN(HEX2BIN(MID($B$1,13,2))&lt;8),REPT("0", 8- LEN(HEX2BIN(MID($B$1,13,2)))) &amp; HEX2BIN(MID($B$1,13,2)), HEX2BIN(MID($B$1,13,2)))</f>
        <v>11010011</v>
      </c>
      <c r="I2" s="48" t="str">
        <f>IF(LEN(HEX2BIN(MID($B$1,15,2))&lt;8),REPT("0", 8- LEN(HEX2BIN(MID($B$1,15,2)))) &amp; HEX2BIN(MID($B$1,15,2)), HEX2BIN(MID($B$1,15,2)))</f>
        <v>10011001</v>
      </c>
      <c r="J2" s="4"/>
      <c r="M2" t="str">
        <f t="shared" ref="M2:M52" si="0">MID($E$7,ROW(M2),1)</f>
        <v>1</v>
      </c>
      <c r="N2">
        <f t="shared" ref="N2:N52" si="1">1/(2^ROW(M2)) *M2</f>
        <v>0.25</v>
      </c>
    </row>
    <row r="3" spans="1:14" x14ac:dyDescent="0.2">
      <c r="A3" s="3"/>
      <c r="B3" s="4"/>
      <c r="C3" s="25"/>
      <c r="M3" t="str">
        <f t="shared" si="0"/>
        <v>0</v>
      </c>
      <c r="N3">
        <f t="shared" si="1"/>
        <v>0</v>
      </c>
    </row>
    <row r="4" spans="1:14" x14ac:dyDescent="0.2">
      <c r="A4" s="3"/>
      <c r="B4" s="4"/>
      <c r="C4" s="25"/>
      <c r="M4" t="str">
        <f t="shared" si="0"/>
        <v>1</v>
      </c>
      <c r="N4">
        <f t="shared" si="1"/>
        <v>6.25E-2</v>
      </c>
    </row>
    <row r="5" spans="1:14" ht="17" x14ac:dyDescent="0.2">
      <c r="A5" s="3"/>
      <c r="B5" s="4" t="s">
        <v>291</v>
      </c>
      <c r="C5" s="25" t="s">
        <v>289</v>
      </c>
      <c r="E5" t="str">
        <f>LEFT(B2,1)</f>
        <v>0</v>
      </c>
      <c r="M5" t="str">
        <f t="shared" si="0"/>
        <v>1</v>
      </c>
      <c r="N5">
        <f t="shared" si="1"/>
        <v>3.125E-2</v>
      </c>
    </row>
    <row r="6" spans="1:14" ht="17" x14ac:dyDescent="0.2">
      <c r="A6" s="3"/>
      <c r="B6" s="4" t="s">
        <v>292</v>
      </c>
      <c r="C6" s="25" t="s">
        <v>290</v>
      </c>
      <c r="D6" s="47"/>
      <c r="E6" s="3" t="str">
        <f>MID(B2,2,7) &amp; LEFT(C2,4)</f>
        <v>10000000101</v>
      </c>
      <c r="F6" s="1">
        <f>LEFT(E6,1) * 2^10+MID(E6,2,1)*2^9+MID(E6,3,1)*2^8+MID(E6,4,1)*2^7+MID(E6,5,1)*2^6+MID(E6,6,1)*2^5+MID(E6,7,1)*2^4+MID(E6,8,1)*2^3+MID(E6,9,1)*2^2+MID(E6,10,1)*2^1+MID(E6,11,1)*2^0</f>
        <v>1029</v>
      </c>
      <c r="M6" t="str">
        <f t="shared" si="0"/>
        <v>1</v>
      </c>
      <c r="N6">
        <f t="shared" si="1"/>
        <v>1.5625E-2</v>
      </c>
    </row>
    <row r="7" spans="1:14" ht="17" x14ac:dyDescent="0.2">
      <c r="A7" s="3"/>
      <c r="B7" s="22">
        <v>52</v>
      </c>
      <c r="C7" s="25" t="s">
        <v>293</v>
      </c>
      <c r="D7" s="23">
        <f>SUM(D15:D66)</f>
        <v>0</v>
      </c>
      <c r="E7" s="3" t="str">
        <f>MID(C2,5,4) &amp;D2&amp;E2&amp;F2&amp;G2&amp;H2&amp;I2</f>
        <v>1101111000111011000100110001011001011101001110011001</v>
      </c>
      <c r="J7" s="1">
        <f>1+SUM(N1:N52)</f>
        <v>1.8680889062499999</v>
      </c>
      <c r="M7" t="str">
        <f t="shared" si="0"/>
        <v>1</v>
      </c>
      <c r="N7">
        <f t="shared" si="1"/>
        <v>7.8125E-3</v>
      </c>
    </row>
    <row r="8" spans="1:14" x14ac:dyDescent="0.2">
      <c r="A8" s="3"/>
      <c r="B8" s="4"/>
      <c r="C8" s="46"/>
      <c r="M8" t="str">
        <f t="shared" si="0"/>
        <v>0</v>
      </c>
      <c r="N8">
        <f t="shared" si="1"/>
        <v>0</v>
      </c>
    </row>
    <row r="9" spans="1:14" x14ac:dyDescent="0.2">
      <c r="A9" s="3"/>
      <c r="B9" s="4"/>
      <c r="C9" s="46"/>
      <c r="M9" t="str">
        <f t="shared" si="0"/>
        <v>0</v>
      </c>
      <c r="N9">
        <f t="shared" si="1"/>
        <v>0</v>
      </c>
    </row>
    <row r="10" spans="1:14" x14ac:dyDescent="0.2">
      <c r="A10" s="3"/>
      <c r="B10" s="4" t="s">
        <v>294</v>
      </c>
      <c r="C10" s="46">
        <f>J7 * 2^(F6-1023)</f>
        <v>119.55768999999999</v>
      </c>
      <c r="M10" t="str">
        <f t="shared" si="0"/>
        <v>0</v>
      </c>
      <c r="N10">
        <f t="shared" si="1"/>
        <v>0</v>
      </c>
    </row>
    <row r="11" spans="1:14" x14ac:dyDescent="0.2">
      <c r="A11" s="3"/>
      <c r="B11" s="4"/>
      <c r="C11" s="46"/>
      <c r="M11" t="str">
        <f t="shared" si="0"/>
        <v>1</v>
      </c>
      <c r="N11">
        <f t="shared" si="1"/>
        <v>4.8828125E-4</v>
      </c>
    </row>
    <row r="12" spans="1:14" x14ac:dyDescent="0.2">
      <c r="A12" s="3"/>
      <c r="B12" s="4"/>
      <c r="C12" s="46"/>
      <c r="M12" t="str">
        <f t="shared" si="0"/>
        <v>1</v>
      </c>
      <c r="N12">
        <f t="shared" si="1"/>
        <v>2.44140625E-4</v>
      </c>
    </row>
    <row r="13" spans="1:14" x14ac:dyDescent="0.2">
      <c r="A13" s="3"/>
      <c r="B13" s="4"/>
      <c r="C13" s="46"/>
      <c r="M13" t="str">
        <f t="shared" si="0"/>
        <v>1</v>
      </c>
      <c r="N13">
        <f t="shared" si="1"/>
        <v>1.220703125E-4</v>
      </c>
    </row>
    <row r="14" spans="1:14" ht="34" x14ac:dyDescent="0.2">
      <c r="A14" s="3"/>
      <c r="B14" s="25" t="s">
        <v>213</v>
      </c>
      <c r="C14" s="46"/>
      <c r="M14" t="str">
        <f t="shared" si="0"/>
        <v>0</v>
      </c>
      <c r="N14">
        <f t="shared" si="1"/>
        <v>0</v>
      </c>
    </row>
    <row r="15" spans="1:14" x14ac:dyDescent="0.2">
      <c r="A15" s="3"/>
      <c r="B15" s="4"/>
      <c r="C15" s="25"/>
      <c r="M15" t="str">
        <f t="shared" si="0"/>
        <v>1</v>
      </c>
      <c r="N15">
        <f t="shared" si="1"/>
        <v>3.0517578125E-5</v>
      </c>
    </row>
    <row r="16" spans="1:14" x14ac:dyDescent="0.2">
      <c r="A16" s="3"/>
      <c r="B16" s="4"/>
      <c r="C16" s="25"/>
      <c r="M16" t="str">
        <f t="shared" si="0"/>
        <v>1</v>
      </c>
      <c r="N16">
        <f t="shared" si="1"/>
        <v>1.52587890625E-5</v>
      </c>
    </row>
    <row r="17" spans="1:14" x14ac:dyDescent="0.2">
      <c r="A17" s="3"/>
      <c r="B17" s="4"/>
      <c r="C17" s="25"/>
      <c r="M17" t="str">
        <f t="shared" si="0"/>
        <v>0</v>
      </c>
      <c r="N17">
        <f t="shared" si="1"/>
        <v>0</v>
      </c>
    </row>
    <row r="18" spans="1:14" x14ac:dyDescent="0.2">
      <c r="A18" s="3"/>
      <c r="B18" s="4"/>
      <c r="C18" s="25"/>
      <c r="M18" t="str">
        <f t="shared" si="0"/>
        <v>0</v>
      </c>
      <c r="N18">
        <f t="shared" si="1"/>
        <v>0</v>
      </c>
    </row>
    <row r="19" spans="1:14" x14ac:dyDescent="0.2">
      <c r="A19" s="3"/>
      <c r="B19" s="4"/>
      <c r="C19" s="25"/>
      <c r="M19" t="str">
        <f t="shared" si="0"/>
        <v>0</v>
      </c>
      <c r="N19">
        <f t="shared" si="1"/>
        <v>0</v>
      </c>
    </row>
    <row r="20" spans="1:14" x14ac:dyDescent="0.2">
      <c r="A20" s="3"/>
      <c r="B20" s="4"/>
      <c r="C20" s="25"/>
      <c r="M20" t="str">
        <f t="shared" si="0"/>
        <v>1</v>
      </c>
      <c r="N20">
        <f t="shared" si="1"/>
        <v>9.5367431640625E-7</v>
      </c>
    </row>
    <row r="21" spans="1:14" x14ac:dyDescent="0.2">
      <c r="A21" s="3"/>
      <c r="B21" s="4"/>
      <c r="C21" s="25"/>
      <c r="M21" t="str">
        <f t="shared" si="0"/>
        <v>0</v>
      </c>
      <c r="N21">
        <f t="shared" si="1"/>
        <v>0</v>
      </c>
    </row>
    <row r="22" spans="1:14" x14ac:dyDescent="0.2">
      <c r="A22" s="3"/>
      <c r="B22" s="4"/>
      <c r="C22" s="25"/>
      <c r="M22" t="str">
        <f t="shared" si="0"/>
        <v>0</v>
      </c>
      <c r="N22">
        <f t="shared" si="1"/>
        <v>0</v>
      </c>
    </row>
    <row r="23" spans="1:14" x14ac:dyDescent="0.2">
      <c r="A23" s="3"/>
      <c r="B23" s="4"/>
      <c r="C23" s="25"/>
      <c r="M23" t="str">
        <f t="shared" si="0"/>
        <v>1</v>
      </c>
      <c r="N23">
        <f t="shared" si="1"/>
        <v>1.1920928955078125E-7</v>
      </c>
    </row>
    <row r="24" spans="1:14" x14ac:dyDescent="0.2">
      <c r="A24" s="3"/>
      <c r="B24" s="4"/>
      <c r="C24" s="25"/>
      <c r="M24" t="str">
        <f t="shared" si="0"/>
        <v>1</v>
      </c>
      <c r="N24">
        <f t="shared" si="1"/>
        <v>5.9604644775390625E-8</v>
      </c>
    </row>
    <row r="25" spans="1:14" x14ac:dyDescent="0.2">
      <c r="A25" s="3"/>
      <c r="B25" s="4"/>
      <c r="C25" s="25"/>
      <c r="M25" t="str">
        <f t="shared" si="0"/>
        <v>0</v>
      </c>
      <c r="N25">
        <f t="shared" si="1"/>
        <v>0</v>
      </c>
    </row>
    <row r="26" spans="1:14" x14ac:dyDescent="0.2">
      <c r="A26" s="3"/>
      <c r="B26" s="4"/>
      <c r="C26" s="25"/>
      <c r="M26" t="str">
        <f t="shared" si="0"/>
        <v>0</v>
      </c>
      <c r="N26">
        <f t="shared" si="1"/>
        <v>0</v>
      </c>
    </row>
    <row r="27" spans="1:14" x14ac:dyDescent="0.2">
      <c r="A27" s="3"/>
      <c r="B27" s="4"/>
      <c r="C27" s="25"/>
      <c r="M27" t="str">
        <f t="shared" si="0"/>
        <v>0</v>
      </c>
      <c r="N27">
        <f t="shared" si="1"/>
        <v>0</v>
      </c>
    </row>
    <row r="28" spans="1:14" x14ac:dyDescent="0.2">
      <c r="A28" s="3"/>
      <c r="B28" s="4"/>
      <c r="C28" s="25"/>
      <c r="M28" t="str">
        <f t="shared" si="0"/>
        <v>1</v>
      </c>
      <c r="N28">
        <f t="shared" si="1"/>
        <v>3.7252902984619141E-9</v>
      </c>
    </row>
    <row r="29" spans="1:14" x14ac:dyDescent="0.2">
      <c r="A29" s="3"/>
      <c r="B29" s="4"/>
      <c r="C29" s="25"/>
      <c r="M29" t="str">
        <f t="shared" si="0"/>
        <v>0</v>
      </c>
      <c r="N29">
        <f t="shared" si="1"/>
        <v>0</v>
      </c>
    </row>
    <row r="30" spans="1:14" x14ac:dyDescent="0.2">
      <c r="A30" s="3"/>
      <c r="B30" s="4"/>
      <c r="C30" s="25"/>
      <c r="M30" t="str">
        <f t="shared" si="0"/>
        <v>1</v>
      </c>
      <c r="N30">
        <f t="shared" si="1"/>
        <v>9.3132257461547852E-10</v>
      </c>
    </row>
    <row r="31" spans="1:14" x14ac:dyDescent="0.2">
      <c r="A31" s="3"/>
      <c r="B31" s="4"/>
      <c r="C31" s="25"/>
      <c r="M31" t="str">
        <f t="shared" si="0"/>
        <v>1</v>
      </c>
      <c r="N31">
        <f t="shared" si="1"/>
        <v>4.6566128730773926E-10</v>
      </c>
    </row>
    <row r="32" spans="1:14" x14ac:dyDescent="0.2">
      <c r="A32" s="3"/>
      <c r="B32" s="4"/>
      <c r="C32" s="25"/>
      <c r="M32" t="str">
        <f t="shared" si="0"/>
        <v>0</v>
      </c>
      <c r="N32">
        <f t="shared" si="1"/>
        <v>0</v>
      </c>
    </row>
    <row r="33" spans="1:14" x14ac:dyDescent="0.2">
      <c r="A33" s="3"/>
      <c r="B33" s="4"/>
      <c r="C33" s="25"/>
      <c r="M33" t="str">
        <f t="shared" si="0"/>
        <v>0</v>
      </c>
      <c r="N33">
        <f t="shared" si="1"/>
        <v>0</v>
      </c>
    </row>
    <row r="34" spans="1:14" x14ac:dyDescent="0.2">
      <c r="A34" s="3"/>
      <c r="B34" s="4"/>
      <c r="C34" s="25"/>
      <c r="M34" t="str">
        <f t="shared" si="0"/>
        <v>1</v>
      </c>
      <c r="N34">
        <f t="shared" si="1"/>
        <v>5.8207660913467407E-11</v>
      </c>
    </row>
    <row r="35" spans="1:14" x14ac:dyDescent="0.2">
      <c r="A35" s="3"/>
      <c r="B35" s="4"/>
      <c r="C35" s="25"/>
      <c r="M35" t="str">
        <f t="shared" si="0"/>
        <v>0</v>
      </c>
      <c r="N35">
        <f t="shared" si="1"/>
        <v>0</v>
      </c>
    </row>
    <row r="36" spans="1:14" x14ac:dyDescent="0.2">
      <c r="A36" s="3"/>
      <c r="B36" s="4"/>
      <c r="C36" s="25"/>
      <c r="M36" t="str">
        <f t="shared" si="0"/>
        <v>1</v>
      </c>
      <c r="N36">
        <f t="shared" si="1"/>
        <v>1.4551915228366852E-11</v>
      </c>
    </row>
    <row r="37" spans="1:14" x14ac:dyDescent="0.2">
      <c r="A37" s="3"/>
      <c r="B37" s="4"/>
      <c r="C37" s="25"/>
      <c r="M37" t="str">
        <f t="shared" si="0"/>
        <v>1</v>
      </c>
      <c r="N37">
        <f t="shared" si="1"/>
        <v>7.2759576141834259E-12</v>
      </c>
    </row>
    <row r="38" spans="1:14" x14ac:dyDescent="0.2">
      <c r="A38" s="3"/>
      <c r="B38" s="4"/>
      <c r="C38" s="25"/>
      <c r="M38" t="str">
        <f t="shared" si="0"/>
        <v>1</v>
      </c>
      <c r="N38">
        <f t="shared" si="1"/>
        <v>3.637978807091713E-12</v>
      </c>
    </row>
    <row r="39" spans="1:14" x14ac:dyDescent="0.2">
      <c r="A39" s="3"/>
      <c r="B39" s="4"/>
      <c r="C39" s="25"/>
      <c r="M39" t="str">
        <f t="shared" si="0"/>
        <v>0</v>
      </c>
      <c r="N39">
        <f t="shared" si="1"/>
        <v>0</v>
      </c>
    </row>
    <row r="40" spans="1:14" x14ac:dyDescent="0.2">
      <c r="A40" s="3"/>
      <c r="B40" s="4"/>
      <c r="C40" s="25"/>
      <c r="M40" t="str">
        <f t="shared" si="0"/>
        <v>1</v>
      </c>
      <c r="N40">
        <f t="shared" si="1"/>
        <v>9.0949470177292824E-13</v>
      </c>
    </row>
    <row r="41" spans="1:14" x14ac:dyDescent="0.2">
      <c r="A41" s="3"/>
      <c r="B41" s="4"/>
      <c r="C41" s="25"/>
      <c r="M41" t="str">
        <f t="shared" si="0"/>
        <v>0</v>
      </c>
      <c r="N41">
        <f t="shared" si="1"/>
        <v>0</v>
      </c>
    </row>
    <row r="42" spans="1:14" x14ac:dyDescent="0.2">
      <c r="A42" s="3"/>
      <c r="B42" s="4"/>
      <c r="C42" s="25"/>
      <c r="M42" t="str">
        <f t="shared" si="0"/>
        <v>0</v>
      </c>
      <c r="N42">
        <f t="shared" si="1"/>
        <v>0</v>
      </c>
    </row>
    <row r="43" spans="1:14" x14ac:dyDescent="0.2">
      <c r="A43" s="3"/>
      <c r="B43" s="4"/>
      <c r="C43" s="25"/>
      <c r="M43" t="str">
        <f t="shared" si="0"/>
        <v>1</v>
      </c>
      <c r="N43">
        <f t="shared" si="1"/>
        <v>1.1368683772161603E-13</v>
      </c>
    </row>
    <row r="44" spans="1:14" x14ac:dyDescent="0.2">
      <c r="A44" s="3"/>
      <c r="B44" s="4"/>
      <c r="C44" s="25"/>
      <c r="M44" t="str">
        <f t="shared" si="0"/>
        <v>1</v>
      </c>
      <c r="N44">
        <f t="shared" si="1"/>
        <v>5.6843418860808015E-14</v>
      </c>
    </row>
    <row r="45" spans="1:14" x14ac:dyDescent="0.2">
      <c r="A45" s="3"/>
      <c r="B45" s="4"/>
      <c r="C45" s="25"/>
      <c r="M45" t="str">
        <f t="shared" si="0"/>
        <v>1</v>
      </c>
      <c r="N45">
        <f t="shared" si="1"/>
        <v>2.8421709430404007E-14</v>
      </c>
    </row>
    <row r="46" spans="1:14" x14ac:dyDescent="0.2">
      <c r="A46" s="3"/>
      <c r="B46" s="4"/>
      <c r="C46" s="25"/>
      <c r="M46" t="str">
        <f t="shared" si="0"/>
        <v>0</v>
      </c>
      <c r="N46">
        <f t="shared" si="1"/>
        <v>0</v>
      </c>
    </row>
    <row r="47" spans="1:14" x14ac:dyDescent="0.2">
      <c r="A47" s="3"/>
      <c r="B47" s="4"/>
      <c r="C47" s="25"/>
      <c r="M47" t="str">
        <f t="shared" si="0"/>
        <v>0</v>
      </c>
      <c r="N47">
        <f t="shared" si="1"/>
        <v>0</v>
      </c>
    </row>
    <row r="48" spans="1:14" x14ac:dyDescent="0.2">
      <c r="A48" s="3"/>
      <c r="B48" s="4"/>
      <c r="C48" s="25"/>
      <c r="M48" t="str">
        <f t="shared" si="0"/>
        <v>1</v>
      </c>
      <c r="N48">
        <f t="shared" si="1"/>
        <v>3.5527136788005009E-15</v>
      </c>
    </row>
    <row r="49" spans="1:14" x14ac:dyDescent="0.2">
      <c r="A49" s="3"/>
      <c r="B49" s="4"/>
      <c r="C49" s="25"/>
      <c r="M49" t="str">
        <f t="shared" si="0"/>
        <v>1</v>
      </c>
      <c r="N49">
        <f t="shared" si="1"/>
        <v>1.7763568394002505E-15</v>
      </c>
    </row>
    <row r="50" spans="1:14" x14ac:dyDescent="0.2">
      <c r="A50" s="3"/>
      <c r="B50" s="4"/>
      <c r="C50" s="25"/>
      <c r="M50" t="str">
        <f t="shared" si="0"/>
        <v>0</v>
      </c>
      <c r="N50">
        <f t="shared" si="1"/>
        <v>0</v>
      </c>
    </row>
    <row r="51" spans="1:14" x14ac:dyDescent="0.2">
      <c r="A51" s="3"/>
      <c r="B51" s="4"/>
      <c r="C51" s="25"/>
      <c r="M51" t="str">
        <f t="shared" si="0"/>
        <v>0</v>
      </c>
      <c r="N51">
        <f t="shared" si="1"/>
        <v>0</v>
      </c>
    </row>
    <row r="52" spans="1:14" x14ac:dyDescent="0.2">
      <c r="A52" s="3"/>
      <c r="B52" s="4"/>
      <c r="C52" s="25"/>
      <c r="M52" t="str">
        <f t="shared" si="0"/>
        <v>1</v>
      </c>
      <c r="N52">
        <f t="shared" si="1"/>
        <v>2.2204460492503131E-16</v>
      </c>
    </row>
    <row r="53" spans="1:14" x14ac:dyDescent="0.2">
      <c r="A53" s="3"/>
      <c r="B53" s="4"/>
      <c r="C53" s="25"/>
    </row>
    <row r="54" spans="1:14" x14ac:dyDescent="0.2">
      <c r="A54" s="3"/>
      <c r="B54" s="4"/>
      <c r="C54" s="25"/>
    </row>
    <row r="55" spans="1:14" x14ac:dyDescent="0.2">
      <c r="A55" s="3"/>
      <c r="B55" s="4"/>
      <c r="C55" s="25"/>
    </row>
    <row r="56" spans="1:14" x14ac:dyDescent="0.2">
      <c r="A56" s="3"/>
      <c r="B56" s="4"/>
      <c r="C56" s="25"/>
    </row>
    <row r="57" spans="1:14" x14ac:dyDescent="0.2">
      <c r="A57" s="3"/>
      <c r="B57" s="4"/>
      <c r="C57" s="25"/>
    </row>
    <row r="58" spans="1:14" x14ac:dyDescent="0.2">
      <c r="A58" s="3"/>
      <c r="B58" s="4"/>
      <c r="C58" s="25"/>
    </row>
    <row r="59" spans="1:14" x14ac:dyDescent="0.2">
      <c r="A59" s="3"/>
      <c r="B59" s="4"/>
      <c r="C59" s="25"/>
    </row>
    <row r="60" spans="1:14" x14ac:dyDescent="0.2">
      <c r="A60" s="3"/>
      <c r="B60" s="4"/>
      <c r="C60" s="25"/>
    </row>
    <row r="61" spans="1:14" x14ac:dyDescent="0.2">
      <c r="A61" s="3"/>
      <c r="B61" s="4"/>
      <c r="C61" s="25"/>
    </row>
    <row r="62" spans="1:14" x14ac:dyDescent="0.2">
      <c r="A62" s="3"/>
      <c r="B62" s="4"/>
      <c r="C62" s="25"/>
    </row>
    <row r="63" spans="1:14" x14ac:dyDescent="0.2">
      <c r="A63" s="3"/>
      <c r="B63" s="4"/>
      <c r="C63" s="25"/>
    </row>
    <row r="64" spans="1:14" x14ac:dyDescent="0.2">
      <c r="A64" s="3"/>
      <c r="B64" s="4"/>
      <c r="C64" s="25"/>
    </row>
    <row r="65" spans="1:3" x14ac:dyDescent="0.2">
      <c r="A65" s="3"/>
      <c r="B65" s="4"/>
      <c r="C65" s="25"/>
    </row>
    <row r="66" spans="1:3" x14ac:dyDescent="0.2">
      <c r="A66" s="3"/>
      <c r="B66" s="4"/>
      <c r="C66" s="25"/>
    </row>
    <row r="67" spans="1:3" x14ac:dyDescent="0.2">
      <c r="A67" s="3"/>
      <c r="B67" s="4"/>
      <c r="C67" s="25"/>
    </row>
    <row r="68" spans="1:3" x14ac:dyDescent="0.2">
      <c r="A68" s="3"/>
      <c r="B68" s="4"/>
      <c r="C68" s="25"/>
    </row>
    <row r="69" spans="1:3" x14ac:dyDescent="0.2">
      <c r="A69" s="3"/>
      <c r="B69" s="4"/>
      <c r="C69" s="25"/>
    </row>
    <row r="70" spans="1:3" x14ac:dyDescent="0.2">
      <c r="A70" s="3"/>
      <c r="B70" s="4"/>
      <c r="C70" s="25"/>
    </row>
    <row r="71" spans="1:3" x14ac:dyDescent="0.2">
      <c r="A71" s="3"/>
      <c r="B71" s="4"/>
      <c r="C71" s="25"/>
    </row>
    <row r="72" spans="1:3" x14ac:dyDescent="0.2">
      <c r="A72" s="3"/>
      <c r="B72" s="4"/>
      <c r="C72" s="25"/>
    </row>
    <row r="73" spans="1:3" x14ac:dyDescent="0.2">
      <c r="A73" s="3"/>
      <c r="B73" s="4"/>
      <c r="C73" s="25"/>
    </row>
    <row r="74" spans="1:3" x14ac:dyDescent="0.2">
      <c r="A74" s="3"/>
      <c r="B74" s="4"/>
      <c r="C74" s="25"/>
    </row>
    <row r="75" spans="1:3" x14ac:dyDescent="0.2">
      <c r="A75" s="3"/>
      <c r="B75" s="4"/>
      <c r="C75" s="25"/>
    </row>
    <row r="76" spans="1:3" x14ac:dyDescent="0.2">
      <c r="A76" s="3"/>
      <c r="B76" s="4"/>
      <c r="C76" s="25"/>
    </row>
    <row r="77" spans="1:3" x14ac:dyDescent="0.2">
      <c r="A77" s="3"/>
      <c r="B77" s="4"/>
      <c r="C77" s="25"/>
    </row>
    <row r="78" spans="1:3" x14ac:dyDescent="0.2">
      <c r="A78" s="3"/>
      <c r="B78" s="4"/>
      <c r="C78" s="25"/>
    </row>
    <row r="79" spans="1:3" x14ac:dyDescent="0.2">
      <c r="A79" s="3"/>
      <c r="B79" s="4"/>
      <c r="C79" s="25"/>
    </row>
    <row r="80" spans="1:3" x14ac:dyDescent="0.2">
      <c r="A80" s="3"/>
      <c r="B80" s="4"/>
      <c r="C80" s="25"/>
    </row>
    <row r="81" spans="1:3" x14ac:dyDescent="0.2">
      <c r="A81" s="3"/>
      <c r="B81" s="4"/>
      <c r="C81" s="25"/>
    </row>
    <row r="82" spans="1:3" x14ac:dyDescent="0.2">
      <c r="A82" s="3"/>
      <c r="B82" s="4"/>
      <c r="C82" s="25"/>
    </row>
    <row r="83" spans="1:3" x14ac:dyDescent="0.2">
      <c r="A83" s="3"/>
      <c r="B83" s="4"/>
      <c r="C83" s="25"/>
    </row>
    <row r="84" spans="1:3" x14ac:dyDescent="0.2">
      <c r="A84" s="3"/>
      <c r="B84" s="4"/>
      <c r="C84" s="25"/>
    </row>
    <row r="85" spans="1:3" x14ac:dyDescent="0.2">
      <c r="A85" s="3"/>
      <c r="B85" s="4"/>
      <c r="C85" s="25"/>
    </row>
    <row r="86" spans="1:3" x14ac:dyDescent="0.2">
      <c r="A86" s="3"/>
      <c r="B86" s="4"/>
      <c r="C86" s="25"/>
    </row>
    <row r="87" spans="1:3" x14ac:dyDescent="0.2">
      <c r="A87" s="3"/>
      <c r="B87" s="4"/>
      <c r="C87" s="25"/>
    </row>
    <row r="88" spans="1:3" x14ac:dyDescent="0.2">
      <c r="A88" s="3"/>
      <c r="B88" s="4"/>
      <c r="C88" s="25"/>
    </row>
    <row r="89" spans="1:3" x14ac:dyDescent="0.2">
      <c r="A89" s="3"/>
      <c r="B89" s="4"/>
      <c r="C89" s="25"/>
    </row>
    <row r="90" spans="1:3" x14ac:dyDescent="0.2">
      <c r="A90" s="3"/>
      <c r="B90" s="4"/>
      <c r="C90" s="25"/>
    </row>
    <row r="91" spans="1:3" x14ac:dyDescent="0.2">
      <c r="A91" s="3"/>
      <c r="B91" s="4"/>
      <c r="C91" s="25"/>
    </row>
    <row r="92" spans="1:3" x14ac:dyDescent="0.2">
      <c r="A92" s="3"/>
      <c r="B92" s="4"/>
      <c r="C92" s="25"/>
    </row>
    <row r="93" spans="1:3" x14ac:dyDescent="0.2">
      <c r="A93" s="3"/>
      <c r="B93" s="4"/>
      <c r="C93" s="25"/>
    </row>
    <row r="94" spans="1:3" x14ac:dyDescent="0.2">
      <c r="A94" s="3"/>
      <c r="B94" s="4"/>
      <c r="C94" s="25"/>
    </row>
    <row r="95" spans="1:3" x14ac:dyDescent="0.2">
      <c r="A95" s="3"/>
      <c r="B95" s="4"/>
      <c r="C95" s="25"/>
    </row>
    <row r="96" spans="1:3" x14ac:dyDescent="0.2">
      <c r="A96" s="3"/>
      <c r="B96" s="4"/>
      <c r="C96" s="25"/>
    </row>
    <row r="97" spans="1:3" x14ac:dyDescent="0.2">
      <c r="A97" s="3"/>
      <c r="B97" s="4"/>
      <c r="C97" s="25"/>
    </row>
    <row r="98" spans="1:3" x14ac:dyDescent="0.2">
      <c r="A98" s="3"/>
      <c r="B98" s="4"/>
      <c r="C98" s="25"/>
    </row>
    <row r="99" spans="1:3" x14ac:dyDescent="0.2">
      <c r="A99" s="3"/>
      <c r="B99" s="4"/>
      <c r="C99" s="25"/>
    </row>
    <row r="100" spans="1:3" x14ac:dyDescent="0.2">
      <c r="A100" s="3"/>
      <c r="B100" s="4"/>
      <c r="C100" s="25"/>
    </row>
    <row r="101" spans="1:3" x14ac:dyDescent="0.2">
      <c r="A101" s="3"/>
      <c r="B101" s="4"/>
      <c r="C101" s="25"/>
    </row>
    <row r="102" spans="1:3" x14ac:dyDescent="0.2">
      <c r="A102" s="3"/>
      <c r="B102" s="4"/>
      <c r="C102" s="25"/>
    </row>
    <row r="103" spans="1:3" x14ac:dyDescent="0.2">
      <c r="A103" s="3"/>
      <c r="B103" s="4"/>
      <c r="C103" s="25"/>
    </row>
    <row r="104" spans="1:3" x14ac:dyDescent="0.2">
      <c r="A104" s="3"/>
      <c r="B104" s="4"/>
      <c r="C104" s="25"/>
    </row>
    <row r="105" spans="1:3" x14ac:dyDescent="0.2">
      <c r="A105" s="3"/>
      <c r="B105" s="4"/>
      <c r="C105" s="25"/>
    </row>
    <row r="106" spans="1:3" x14ac:dyDescent="0.2">
      <c r="A106" s="3"/>
      <c r="B106" s="4"/>
      <c r="C106" s="25"/>
    </row>
    <row r="107" spans="1:3" x14ac:dyDescent="0.2">
      <c r="A107" s="3"/>
      <c r="B107" s="4"/>
      <c r="C107" s="25"/>
    </row>
    <row r="108" spans="1:3" x14ac:dyDescent="0.2">
      <c r="A108" s="3"/>
      <c r="B108" s="4"/>
      <c r="C108" s="25"/>
    </row>
    <row r="109" spans="1:3" x14ac:dyDescent="0.2">
      <c r="A109" s="3"/>
      <c r="B109" s="4"/>
      <c r="C109" s="25"/>
    </row>
    <row r="110" spans="1:3" x14ac:dyDescent="0.2">
      <c r="A110" s="3"/>
      <c r="B110" s="4"/>
      <c r="C110" s="25"/>
    </row>
    <row r="111" spans="1:3" x14ac:dyDescent="0.2">
      <c r="A111" s="3"/>
      <c r="B111" s="4"/>
      <c r="C111" s="25"/>
    </row>
    <row r="112" spans="1:3" x14ac:dyDescent="0.2">
      <c r="A112" s="3"/>
      <c r="B112" s="4"/>
      <c r="C112" s="25"/>
    </row>
    <row r="113" spans="1:3" x14ac:dyDescent="0.2">
      <c r="A113" s="3"/>
      <c r="B113" s="4"/>
      <c r="C113" s="25"/>
    </row>
    <row r="114" spans="1:3" x14ac:dyDescent="0.2">
      <c r="A114" s="3"/>
      <c r="B114" s="4"/>
      <c r="C114" s="25"/>
    </row>
    <row r="115" spans="1:3" x14ac:dyDescent="0.2">
      <c r="A115" s="3"/>
      <c r="B115" s="4"/>
      <c r="C115" s="25"/>
    </row>
    <row r="116" spans="1:3" x14ac:dyDescent="0.2">
      <c r="A116" s="3"/>
      <c r="B116" s="4"/>
      <c r="C116" s="25"/>
    </row>
    <row r="117" spans="1:3" x14ac:dyDescent="0.2">
      <c r="A117" s="3"/>
      <c r="B117" s="4"/>
      <c r="C117" s="25"/>
    </row>
    <row r="118" spans="1:3" x14ac:dyDescent="0.2">
      <c r="A118" s="3"/>
      <c r="B118" s="4"/>
      <c r="C118" s="25"/>
    </row>
    <row r="119" spans="1:3" x14ac:dyDescent="0.2">
      <c r="A119" s="3"/>
      <c r="B119" s="4"/>
      <c r="C119" s="25"/>
    </row>
    <row r="120" spans="1:3" x14ac:dyDescent="0.2">
      <c r="A120" s="3"/>
      <c r="B120" s="4"/>
      <c r="C120" s="25"/>
    </row>
    <row r="121" spans="1:3" x14ac:dyDescent="0.2">
      <c r="A121" s="3"/>
      <c r="B121" s="4"/>
      <c r="C121" s="25"/>
    </row>
    <row r="122" spans="1:3" x14ac:dyDescent="0.2">
      <c r="A122" s="3"/>
      <c r="B122" s="4"/>
      <c r="C122" s="25"/>
    </row>
    <row r="123" spans="1:3" x14ac:dyDescent="0.2">
      <c r="A123" s="3"/>
      <c r="B123" s="4"/>
      <c r="C123" s="25"/>
    </row>
    <row r="124" spans="1:3" x14ac:dyDescent="0.2">
      <c r="A124" s="3"/>
      <c r="B124" s="4"/>
      <c r="C124" s="25"/>
    </row>
    <row r="125" spans="1:3" x14ac:dyDescent="0.2">
      <c r="A125" s="3"/>
      <c r="B125" s="4"/>
      <c r="C125" s="25"/>
    </row>
    <row r="126" spans="1:3" x14ac:dyDescent="0.2">
      <c r="A126" s="3"/>
      <c r="B126" s="4"/>
      <c r="C126" s="25"/>
    </row>
    <row r="127" spans="1:3" x14ac:dyDescent="0.2">
      <c r="A127" s="3"/>
      <c r="B127" s="4"/>
      <c r="C127" s="25"/>
    </row>
    <row r="128" spans="1:3" x14ac:dyDescent="0.2">
      <c r="A128" s="3"/>
      <c r="B128" s="4"/>
      <c r="C128" s="25"/>
    </row>
    <row r="129" spans="1:3" x14ac:dyDescent="0.2">
      <c r="A129" s="3"/>
      <c r="B129" s="4"/>
      <c r="C129" s="25"/>
    </row>
    <row r="130" spans="1:3" x14ac:dyDescent="0.2">
      <c r="A130" s="3"/>
      <c r="B130" s="4"/>
      <c r="C130" s="25"/>
    </row>
    <row r="131" spans="1:3" x14ac:dyDescent="0.2">
      <c r="A131" s="3"/>
      <c r="B131" s="4"/>
      <c r="C131" s="25"/>
    </row>
    <row r="132" spans="1:3" x14ac:dyDescent="0.2">
      <c r="A132" s="3"/>
      <c r="B132" s="4"/>
      <c r="C132" s="25"/>
    </row>
    <row r="133" spans="1:3" x14ac:dyDescent="0.2">
      <c r="A133" s="3"/>
      <c r="B133" s="4"/>
      <c r="C133" s="25"/>
    </row>
    <row r="134" spans="1:3" x14ac:dyDescent="0.2">
      <c r="A134" s="3"/>
      <c r="B134" s="4"/>
      <c r="C134" s="25"/>
    </row>
    <row r="135" spans="1:3" x14ac:dyDescent="0.2">
      <c r="A135" s="3"/>
      <c r="B135" s="4"/>
      <c r="C135" s="25"/>
    </row>
    <row r="136" spans="1:3" x14ac:dyDescent="0.2">
      <c r="A136" s="3"/>
      <c r="B136" s="4"/>
      <c r="C136" s="25"/>
    </row>
    <row r="137" spans="1:3" x14ac:dyDescent="0.2">
      <c r="A137" s="3"/>
      <c r="B137" s="4"/>
      <c r="C137" s="25"/>
    </row>
    <row r="138" spans="1:3" x14ac:dyDescent="0.2">
      <c r="A138" s="3"/>
      <c r="B138" s="4"/>
      <c r="C138" s="25"/>
    </row>
    <row r="139" spans="1:3" x14ac:dyDescent="0.2">
      <c r="A139" s="3"/>
      <c r="B139" s="4"/>
      <c r="C139" s="25"/>
    </row>
    <row r="140" spans="1:3" x14ac:dyDescent="0.2">
      <c r="A140" s="3"/>
      <c r="B140" s="4"/>
      <c r="C140" s="25"/>
    </row>
    <row r="141" spans="1:3" x14ac:dyDescent="0.2">
      <c r="A141" s="3"/>
      <c r="B141" s="4"/>
      <c r="C141" s="25"/>
    </row>
    <row r="142" spans="1:3" x14ac:dyDescent="0.2">
      <c r="A142" s="3"/>
      <c r="B142" s="4"/>
      <c r="C142" s="25"/>
    </row>
    <row r="143" spans="1:3" x14ac:dyDescent="0.2">
      <c r="A143" s="3"/>
      <c r="B143" s="4"/>
      <c r="C143" s="25"/>
    </row>
    <row r="144" spans="1:3" x14ac:dyDescent="0.2">
      <c r="A144" s="3"/>
      <c r="B144" s="4"/>
      <c r="C144" s="25"/>
    </row>
    <row r="145" spans="1:3" x14ac:dyDescent="0.2">
      <c r="A145" s="3"/>
      <c r="B145" s="4"/>
      <c r="C145" s="25"/>
    </row>
    <row r="146" spans="1:3" x14ac:dyDescent="0.2">
      <c r="A146" s="3"/>
      <c r="B146" s="4"/>
      <c r="C146" s="25"/>
    </row>
    <row r="147" spans="1:3" x14ac:dyDescent="0.2">
      <c r="A147" s="3"/>
      <c r="B147" s="4"/>
      <c r="C147" s="25"/>
    </row>
    <row r="148" spans="1:3" x14ac:dyDescent="0.2">
      <c r="A148" s="3"/>
      <c r="B148" s="4"/>
      <c r="C148" s="25"/>
    </row>
    <row r="149" spans="1:3" x14ac:dyDescent="0.2">
      <c r="A149" s="3"/>
      <c r="B149" s="4"/>
      <c r="C149" s="25"/>
    </row>
    <row r="150" spans="1:3" x14ac:dyDescent="0.2">
      <c r="A150" s="3"/>
      <c r="B150" s="4"/>
      <c r="C150" s="25"/>
    </row>
    <row r="151" spans="1:3" x14ac:dyDescent="0.2">
      <c r="A151" s="3"/>
      <c r="B151" s="4"/>
      <c r="C151" s="25"/>
    </row>
    <row r="152" spans="1:3" x14ac:dyDescent="0.2">
      <c r="A152" s="3"/>
      <c r="B152" s="4"/>
      <c r="C152" s="25"/>
    </row>
    <row r="153" spans="1:3" x14ac:dyDescent="0.2">
      <c r="A153" s="3"/>
      <c r="B153" s="4"/>
      <c r="C153" s="25"/>
    </row>
    <row r="154" spans="1:3" x14ac:dyDescent="0.2">
      <c r="A154" s="3"/>
      <c r="B154" s="4"/>
      <c r="C154" s="25"/>
    </row>
    <row r="155" spans="1:3" x14ac:dyDescent="0.2">
      <c r="A155" s="3"/>
      <c r="B155" s="4"/>
      <c r="C155" s="25"/>
    </row>
    <row r="156" spans="1:3" x14ac:dyDescent="0.2">
      <c r="A156" s="3"/>
      <c r="B156" s="4"/>
      <c r="C156" s="25"/>
    </row>
    <row r="157" spans="1:3" x14ac:dyDescent="0.2">
      <c r="A157" s="3"/>
      <c r="B157" s="4"/>
      <c r="C157" s="25"/>
    </row>
    <row r="158" spans="1:3" x14ac:dyDescent="0.2">
      <c r="A158" s="3"/>
      <c r="B158" s="4"/>
      <c r="C158" s="25"/>
    </row>
    <row r="159" spans="1:3" x14ac:dyDescent="0.2">
      <c r="A159" s="3"/>
      <c r="B159" s="4"/>
      <c r="C159" s="25"/>
    </row>
    <row r="160" spans="1:3" x14ac:dyDescent="0.2">
      <c r="A160" s="3"/>
      <c r="B160" s="4"/>
      <c r="C160" s="25"/>
    </row>
    <row r="161" spans="1:3" x14ac:dyDescent="0.2">
      <c r="A161" s="3"/>
      <c r="B161" s="4"/>
      <c r="C161" s="25"/>
    </row>
    <row r="162" spans="1:3" x14ac:dyDescent="0.2">
      <c r="A162" s="3"/>
      <c r="B162" s="4"/>
      <c r="C162" s="25"/>
    </row>
    <row r="163" spans="1:3" x14ac:dyDescent="0.2">
      <c r="A163" s="3"/>
      <c r="B163" s="4"/>
      <c r="C163" s="25"/>
    </row>
    <row r="164" spans="1:3" x14ac:dyDescent="0.2">
      <c r="A164" s="3"/>
      <c r="B164" s="4"/>
      <c r="C164" s="25"/>
    </row>
    <row r="165" spans="1:3" x14ac:dyDescent="0.2">
      <c r="A165" s="3"/>
      <c r="B165" s="4"/>
      <c r="C165" s="25"/>
    </row>
    <row r="166" spans="1:3" x14ac:dyDescent="0.2">
      <c r="A166" s="3"/>
      <c r="B166" s="4"/>
      <c r="C166" s="25"/>
    </row>
    <row r="167" spans="1:3" x14ac:dyDescent="0.2">
      <c r="A167" s="3"/>
      <c r="B167" s="4"/>
      <c r="C167" s="25"/>
    </row>
    <row r="168" spans="1:3" x14ac:dyDescent="0.2">
      <c r="A168" s="3"/>
      <c r="B168" s="4"/>
      <c r="C168" s="25"/>
    </row>
    <row r="169" spans="1:3" x14ac:dyDescent="0.2">
      <c r="A169" s="3"/>
      <c r="B169" s="4"/>
      <c r="C169" s="25"/>
    </row>
    <row r="170" spans="1:3" x14ac:dyDescent="0.2">
      <c r="A170" s="3"/>
      <c r="B170" s="4"/>
      <c r="C17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decodable.mdt</vt:lpstr>
      <vt:lpstr>Double 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Stevens</dc:creator>
  <cp:lastModifiedBy>Lee Stevens</cp:lastModifiedBy>
  <dcterms:created xsi:type="dcterms:W3CDTF">2021-02-23T21:23:31Z</dcterms:created>
  <dcterms:modified xsi:type="dcterms:W3CDTF">2021-02-26T00:59:37Z</dcterms:modified>
</cp:coreProperties>
</file>